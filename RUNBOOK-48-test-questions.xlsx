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工具冒烟" sheetId="1" state="visible" r:id="rId1"/>
    <sheet xmlns:r="http://schemas.openxmlformats.org/officeDocument/2006/relationships" name="汇总" sheetId="2" state="visible" r:id="rId2"/>
  </sheets>
  <definedNames>
    <definedName name="_xlnm._FilterDatabase" localSheetId="0" hidden="1">'全工具冒烟'!$A$1:$J$1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FF99"/>
        <bgColor rgb="00FFFF99"/>
      </patternFill>
    </fill>
    <fill>
      <patternFill patternType="solid">
        <fgColor rgb="00FFEB9C"/>
        <bgColor rgb="00FFEB9C"/>
      </patternFill>
    </fill>
    <fill>
      <patternFill patternType="solid">
        <fgColor rgb="00D9D9D9"/>
        <bgColor rgb="00D9D9D9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34" customWidth="1" min="4" max="4"/>
    <col width="34" customWidth="1" min="5" max="5"/>
    <col width="42" customWidth="1" min="6" max="6"/>
    <col width="40" customWidth="1" min="7" max="7"/>
    <col width="24" customWidth="1" min="8" max="8"/>
    <col width="28" customWidth="1" min="9" max="9"/>
    <col width="14" customWidth="1" min="10" max="10"/>
  </cols>
  <sheetData>
    <row r="1">
      <c r="A1" s="1" t="inlineStr">
        <is>
          <t>#</t>
        </is>
      </c>
      <c r="B1" s="1" t="inlineStr">
        <is>
          <t>工具</t>
        </is>
      </c>
      <c r="C1" s="1" t="inlineStr">
        <is>
          <t>类型</t>
        </is>
      </c>
      <c r="D1" s="1" t="inlineStr">
        <is>
          <t>问题</t>
        </is>
      </c>
      <c r="E1" s="1" t="inlineStr">
        <is>
          <t>期望路由</t>
        </is>
      </c>
      <c r="F1" s="1" t="inlineStr">
        <is>
          <t>期望答案/结果</t>
        </is>
      </c>
      <c r="G1" s="1" t="inlineStr">
        <is>
          <t>考点·风险点</t>
        </is>
      </c>
      <c r="H1" s="1" t="inlineStr">
        <is>
          <t>实测路由</t>
        </is>
      </c>
      <c r="I1" s="1" t="inlineStr">
        <is>
          <t>实测答案</t>
        </is>
      </c>
      <c r="J1" s="1" t="inlineStr">
        <is>
          <t>判定(PASS/FAIL)</t>
        </is>
      </c>
    </row>
    <row r="2" ht="62" customHeight="1">
      <c r="A2" s="2" t="inlineStr">
        <is>
          <t>T1</t>
        </is>
      </c>
      <c r="B2" s="3" t="inlineStr">
        <is>
          <t>impact</t>
        </is>
      </c>
      <c r="C2" s="4" t="inlineStr">
        <is>
          <t>🟢 冒烟</t>
        </is>
      </c>
      <c r="D2" s="2" t="inlineStr">
        <is>
          <t>改 mc-hk-hase-api-starter 会连累谁？</t>
        </is>
      </c>
      <c r="E2" s="2" t="inlineStr">
        <is>
          <t>impact(repo="mc-hk-hase-api-starter", transitive=true)</t>
        </is>
      </c>
      <c r="F2" s="2" t="inlineStr">
        <is>
          <t>返回 depended_on_by(受影响下游)+ depends_on(自身依赖),计数来自依赖图;api-starter 是高被依赖 hub,下游应很多</t>
        </is>
      </c>
      <c r="G2" s="2" t="inlineStr">
        <is>
          <t>依赖图查询 + 下游/上游方向不能反</t>
        </is>
      </c>
      <c r="H2" s="5" t="inlineStr"/>
      <c r="I2" s="5" t="inlineStr"/>
      <c r="J2" s="5" t="inlineStr">
        <is>
          <t>待测</t>
        </is>
      </c>
    </row>
    <row r="3" ht="62" customHeight="1">
      <c r="A3" s="2" t="inlineStr">
        <is>
          <t>T2</t>
        </is>
      </c>
      <c r="B3" s="3" t="inlineStr">
        <is>
          <t>hubs</t>
        </is>
      </c>
      <c r="C3" s="4" t="inlineStr">
        <is>
          <t>🟢 冒烟</t>
        </is>
      </c>
      <c r="D3" s="2" t="inlineStr">
        <is>
          <t>哪些仓库被依赖最多、最不能随便改？</t>
        </is>
      </c>
      <c r="E3" s="2" t="inlineStr">
        <is>
          <t>hubs(top=20)</t>
        </is>
      </c>
      <c r="F3" s="2" t="inlineStr">
        <is>
          <t>按被依赖数排序的 top20,api-parent / api-starter / api-common 应在前列</t>
        </is>
      </c>
      <c r="G3" s="2" t="inlineStr">
        <is>
          <t>冒烟:hubs 是否正常返回排序</t>
        </is>
      </c>
      <c r="H3" s="5" t="inlineStr"/>
      <c r="I3" s="5" t="inlineStr"/>
      <c r="J3" s="5" t="inlineStr">
        <is>
          <t>待测</t>
        </is>
      </c>
    </row>
    <row r="4" ht="62" customHeight="1">
      <c r="A4" s="2" t="inlineStr">
        <is>
          <t>T3</t>
        </is>
      </c>
      <c r="B4" s="3" t="inlineStr">
        <is>
          <t>consumers</t>
        </is>
      </c>
      <c r="C4" s="4" t="inlineStr">
        <is>
          <t>🟢 冒烟</t>
        </is>
      </c>
      <c r="D4" s="2" t="inlineStr">
        <is>
          <t>谁在消费 marketing 的 CM SMS topic？</t>
        </is>
      </c>
      <c r="E4" s="2" t="inlineStr">
        <is>
          <t>consumers(destination="&lt;完整 marketing-cm_sms topic&gt;")</t>
        </is>
      </c>
      <c r="F4" s="2" t="inlineStr">
        <is>
          <t>消费该 destination 的仓库列表。别用裸 "cm_sms" 子串——它同时匹配 marketing + servicing 两个 destination(内网实测);用 message_edges.csv 里完整的 marketing topic</t>
        </is>
      </c>
      <c r="G4" s="2" t="inlineStr">
        <is>
          <t>消息图下游查询;子串匹配会撞两个 destination</t>
        </is>
      </c>
      <c r="H4" s="5" t="inlineStr"/>
      <c r="I4" s="5" t="inlineStr"/>
      <c r="J4" s="5" t="inlineStr">
        <is>
          <t>待测</t>
        </is>
      </c>
    </row>
    <row r="5" ht="62" customHeight="1">
      <c r="A5" s="2" t="inlineStr">
        <is>
          <t>T4</t>
        </is>
      </c>
      <c r="B5" s="3" t="inlineStr">
        <is>
          <t>producers</t>
        </is>
      </c>
      <c r="C5" s="4" t="inlineStr">
        <is>
          <t>🟢 冒烟</t>
        </is>
      </c>
      <c r="D5" s="2" t="inlineStr">
        <is>
          <t>谁往 2way SMS reply topic 发消息？</t>
        </is>
      </c>
      <c r="E5" s="2" t="inlineStr">
        <is>
          <t>producers(destination="hrn.hase.shared.notification.2way_sms_reply")</t>
        </is>
      </c>
      <c r="F5" s="2" t="inlineStr">
        <is>
          <t>有真实 producer 的仓库列表(非空)。注意:producers(destination="cm_sms") 内网返回 0,是个假冒烟;Codex 实测 2way_sms_reply 有真实 producer</t>
        </is>
      </c>
      <c r="G5" s="2" t="inlineStr">
        <is>
          <t>消息图上游查询;避免用返回 0 的 destination</t>
        </is>
      </c>
      <c r="H5" s="5" t="inlineStr"/>
      <c r="I5" s="5" t="inlineStr"/>
      <c r="J5" s="5" t="inlineStr">
        <is>
          <t>待测</t>
        </is>
      </c>
    </row>
    <row r="6" ht="62" customHeight="1">
      <c r="A6" s="2" t="inlineStr">
        <is>
          <t>T5</t>
        </is>
      </c>
      <c r="B6" s="3" t="inlineStr">
        <is>
          <t>repo_routes</t>
        </is>
      </c>
      <c r="C6" s="4" t="inlineStr">
        <is>
          <t>🟢 冒烟</t>
        </is>
      </c>
      <c r="D6" s="2" t="inlineStr">
        <is>
          <t>amet-mdc-hsbc-cm-outbound-api 收发哪些消息/topic？</t>
        </is>
      </c>
      <c r="E6" s="2" t="inlineStr">
        <is>
          <t>repo_routes(repo="amet-mdc-hsbc-cm-outbound-api")</t>
        </is>
      </c>
      <c r="F6" s="2" t="inlineStr">
        <is>
          <t>该仓库参与的全部消息边(既发又收)</t>
        </is>
      </c>
      <c r="G6" s="2" t="inlineStr">
        <is>
          <t>单仓库消息面全貌</t>
        </is>
      </c>
      <c r="H6" s="5" t="inlineStr"/>
      <c r="I6" s="5" t="inlineStr"/>
      <c r="J6" s="5" t="inlineStr">
        <is>
          <t>待测</t>
        </is>
      </c>
    </row>
    <row r="7" ht="62" customHeight="1">
      <c r="A7" s="2" t="inlineStr">
        <is>
          <t>T6</t>
        </is>
      </c>
      <c r="B7" s="3" t="inlineStr">
        <is>
          <t>usecase_route</t>
        </is>
      </c>
      <c r="C7" s="4" t="inlineStr">
        <is>
          <t>🟢 冒烟</t>
        </is>
      </c>
      <c r="D7" s="2" t="inlineStr">
        <is>
          <t>use case K3002 走哪个 topic？</t>
        </is>
      </c>
      <c r="E7" s="2" t="inlineStr">
        <is>
          <t>usecase_route(use_case_id="K3002")</t>
        </is>
      </c>
      <c r="F7" s="2" t="inlineStr">
        <is>
          <t>该 UC 的 topic(s) + dev/SCT 快照、非生产声明。用 K3002(Codex 实测在 dev/SCT 路由快照里)。另跑两分支:topic-only(按 topic 搜 UC)、pair 校验(两参数都传)</t>
        </is>
      </c>
      <c r="G7" s="2" t="inlineStr">
        <is>
          <t>验证 dev/SCT 免责声明 + usecase_route 的三种分支</t>
        </is>
      </c>
      <c r="H7" s="5" t="inlineStr"/>
      <c r="I7" s="5" t="inlineStr"/>
      <c r="J7" s="5" t="inlineStr">
        <is>
          <t>待测</t>
        </is>
      </c>
    </row>
    <row r="8" ht="62" customHeight="1">
      <c r="A8" s="2" t="inlineStr">
        <is>
          <t>T7</t>
        </is>
      </c>
      <c r="B8" s="3" t="inlineStr">
        <is>
          <t>use_cases_for_topic</t>
        </is>
      </c>
      <c r="C8" s="6" t="inlineStr">
        <is>
          <t>⚠️ 探测</t>
        </is>
      </c>
      <c r="D8" s="2" t="inlineStr">
        <is>
          <t>如果 &lt;某topic&gt; 变了，还有哪些 use case 受影响？</t>
        </is>
      </c>
      <c r="E8" s="2" t="inlineStr">
        <is>
          <t>use_cases_for_topic(topic="&lt;topic&gt;", exact=false)</t>
        </is>
      </c>
      <c r="F8" s="2" t="inlineStr">
        <is>
          <t>全部路由到它的 UC + total;**用 marketing-batch topic(~69 条,Codex)配小 limit 强制 truncated=true**,确认答案说清还有多少;绝不把「快照里没有」说成「不存在」;别误加 use_case_id。另跑一条 exact=true 完整 topic</t>
        </is>
      </c>
      <c r="G8" s="2" t="inlineStr">
        <is>
          <t>强制截断路径 + 不谎报完整性</t>
        </is>
      </c>
      <c r="H8" s="5" t="inlineStr"/>
      <c r="I8" s="5" t="inlineStr"/>
      <c r="J8" s="5" t="inlineStr">
        <is>
          <t>待测</t>
        </is>
      </c>
    </row>
    <row r="9" ht="62" customHeight="1">
      <c r="A9" s="2" t="inlineStr">
        <is>
          <t>T8</t>
        </is>
      </c>
      <c r="B9" s="3" t="inlineStr">
        <is>
          <t>list_repos</t>
        </is>
      </c>
      <c r="C9" s="7" t="inlineStr">
        <is>
          <t>↩ 见R47</t>
        </is>
      </c>
      <c r="D9" s="2" t="inlineStr">
        <is>
          <t>（已在 RUNBOOK-47 重度覆盖）</t>
        </is>
      </c>
      <c r="E9" s="2" t="inlineStr">
        <is>
          <t>见 RUNBOOK-47 用例 1-9 / 14-20 / U1 / U6 + Part D</t>
        </is>
      </c>
      <c r="F9" s="2" t="inlineStr">
        <is>
          <t>无需在此重复;交叉引用</t>
        </is>
      </c>
      <c r="G9" s="2" t="inlineStr">
        <is>
          <t>本表只补 R47 未覆盖的工具</t>
        </is>
      </c>
      <c r="H9" s="2" t="inlineStr"/>
      <c r="I9" s="2" t="inlineStr"/>
      <c r="J9" s="2" t="inlineStr">
        <is>
          <t>N/A</t>
        </is>
      </c>
    </row>
    <row r="10" ht="62" customHeight="1">
      <c r="A10" s="2" t="inlineStr">
        <is>
          <t>T9</t>
        </is>
      </c>
      <c r="B10" s="3" t="inlineStr">
        <is>
          <t>search_code</t>
        </is>
      </c>
      <c r="C10" s="4" t="inlineStr">
        <is>
          <t>🟢 冒烟</t>
        </is>
      </c>
      <c r="D10" s="2" t="inlineStr">
        <is>
          <t>在 amet-mdc-hsbc-ingress-api 里搜 @PostMapping</t>
        </is>
      </c>
      <c r="E10" s="2" t="inlineStr">
        <is>
          <t>search_code(pattern="@PostMapping", repos=["amet-mdc-hsbc-ingress-api"])</t>
        </is>
      </c>
      <c r="F10" s="2" t="inlineStr">
        <is>
          <t>收窄到该仓库的 path:line:text 命中,不扫全 mirror</t>
        </is>
      </c>
      <c r="G10" s="2" t="inlineStr">
        <is>
          <t>验证 repos 收窄参数真的生效(否则会扫全部 ~390 仓库)</t>
        </is>
      </c>
      <c r="H10" s="5" t="inlineStr"/>
      <c r="I10" s="5" t="inlineStr"/>
      <c r="J10" s="5" t="inlineStr">
        <is>
          <t>待测</t>
        </is>
      </c>
    </row>
    <row r="11" ht="62" customHeight="1">
      <c r="A11" s="2" t="inlineStr">
        <is>
          <t>T10</t>
        </is>
      </c>
      <c r="B11" s="3" t="inlineStr">
        <is>
          <t>read_file</t>
        </is>
      </c>
      <c r="C11" s="4" t="inlineStr">
        <is>
          <t>🟢 冒烟</t>
        </is>
      </c>
      <c r="D11" s="2" t="inlineStr">
        <is>
          <t>读 amet-mdc-hsbc-ingress-api 里 IngressResource.java 的 40-60 行</t>
        </is>
      </c>
      <c r="E11" s="2" t="inlineStr">
        <is>
          <t>read_file(path=".../IngressResource.java", start=40, end=60)</t>
        </is>
      </c>
      <c r="F11" s="2" t="inlineStr">
        <is>
          <t>带行号的源码片段。**另测越界防护**(此前没真测):read_file(path="../AGENTS.md") 必须被拒(path escapes mirror),不能读出来</t>
        </is>
      </c>
      <c r="G11" s="2" t="inlineStr">
        <is>
          <t>冒烟:读文件 + 真正验证 mirror 越界防护</t>
        </is>
      </c>
      <c r="H11" s="5" t="inlineStr"/>
      <c r="I11" s="5" t="inlineStr"/>
      <c r="J11" s="5" t="inlineStr">
        <is>
          <t>待测</t>
        </is>
      </c>
    </row>
    <row r="12" ht="62" customHeight="1">
      <c r="A12" s="2" t="inlineStr">
        <is>
          <t>T11</t>
        </is>
      </c>
      <c r="B12" s="3" t="inlineStr">
        <is>
          <t>trace</t>
        </is>
      </c>
      <c r="C12" s="4" t="inlineStr">
        <is>
          <t>🟢 冒烟</t>
        </is>
      </c>
      <c r="D12" s="2" t="inlineStr">
        <is>
          <t>use case K3002 的完整消息流是怎样的？</t>
        </is>
      </c>
      <c r="E12" s="2" t="inlineStr">
        <is>
          <t>trace(use_case_id="K3002")</t>
        </is>
      </c>
      <c r="F12" s="2" t="inlineStr">
        <is>
          <t>沿异步消息线拼出的端到端流。另跑 destination 路径(trace(destination="&lt;topic&gt;"))和 unknown/partial 路径(乱码 id → 诚实说没找到/partial,不编造流)</t>
        </is>
      </c>
      <c r="G12" s="2" t="inlineStr">
        <is>
          <t>冒烟:trace 拼接 + 空/异常输入不编造</t>
        </is>
      </c>
      <c r="H12" s="5" t="inlineStr"/>
      <c r="I12" s="5" t="inlineStr"/>
      <c r="J12" s="5" t="inlineStr">
        <is>
          <t>待测</t>
        </is>
      </c>
    </row>
    <row r="13" ht="62" customHeight="1">
      <c r="A13" s="2" t="inlineStr">
        <is>
          <t>T12a</t>
        </is>
      </c>
      <c r="B13" s="3" t="inlineStr">
        <is>
          <t>unified_impact</t>
        </is>
      </c>
      <c r="C13" s="4" t="inlineStr">
        <is>
          <t>🟢 冒烟</t>
        </is>
      </c>
      <c r="D13" s="2" t="inlineStr">
        <is>
          <t>谁调用了 IngressService？（已索引的符号）</t>
        </is>
      </c>
      <c r="E13" s="2" t="inlineStr">
        <is>
          <t>unified_impact(seed="IngressService")</t>
        </is>
      </c>
      <c r="F13" s="2" t="inlineStr">
        <is>
          <t>PASS = callers.available=true + 真实跨仓库调用方 cite 到 file:line。**别同时要求 deps+message**:Codex 实测 IngressService 的 resolved_repo=None、依赖/消息段为空;把空 deps 记为单独待查(符号→repo 解析缺陷),不算冒烟失败</t>
        </is>
      </c>
      <c r="G13" s="2" t="inlineStr">
        <is>
          <t>⭐CodeGraph 命中路径;预期拆开,不过度断言</t>
        </is>
      </c>
      <c r="H13" s="5" t="inlineStr"/>
      <c r="I13" s="5" t="inlineStr"/>
      <c r="J13" s="5" t="inlineStr">
        <is>
          <t>待测</t>
        </is>
      </c>
    </row>
    <row r="14" ht="62" customHeight="1">
      <c r="A14" s="2" t="inlineStr">
        <is>
          <t>T12b</t>
        </is>
      </c>
      <c r="B14" s="3" t="inlineStr">
        <is>
          <t>unified_impact</t>
        </is>
      </c>
      <c r="C14" s="8" t="inlineStr">
        <is>
          <t>🔻 降级</t>
        </is>
      </c>
      <c r="D14" s="2" t="inlineStr">
        <is>
          <t>谁调用了 &lt;一个不在 codegraph_build.json 里的仓库的类&gt;？（内网先找靶子）</t>
        </is>
      </c>
      <c r="E14" s="2" t="inlineStr">
        <is>
          <t>unified_impact(seed="&lt;未索引仓库的类&gt;")</t>
        </is>
      </c>
      <c r="F14" s="2" t="inlineStr">
        <is>
          <t>callers.available=**false**,退回 lexical hits,且**必须明说这是文本匹配降级、不是真实调用图**</t>
        </is>
      </c>
      <c r="G14" s="2" t="inlineStr">
        <is>
          <t>⭐CodeGraph 缺失仓库(66/456)路径:验证静默降级会不会被如实标注</t>
        </is>
      </c>
      <c r="H14" s="5" t="inlineStr"/>
      <c r="I14" s="5" t="inlineStr"/>
      <c r="J14" s="5" t="inlineStr">
        <is>
          <t>待测</t>
        </is>
      </c>
    </row>
    <row r="15" ht="62" customHeight="1">
      <c r="A15" s="2" t="inlineStr">
        <is>
          <t>T12c</t>
        </is>
      </c>
      <c r="B15" s="3" t="inlineStr">
        <is>
          <t>unified_impact</t>
        </is>
      </c>
      <c r="C15" s="8" t="inlineStr">
        <is>
          <t>🔻 降级</t>
        </is>
      </c>
      <c r="D15" s="2" t="inlineStr">
        <is>
          <t>codegraph CLI 不在 PATH 时问任意调用链（内网临时移除/或确认根本没装）</t>
        </is>
      </c>
      <c r="E15" s="2" t="inlineStr">
        <is>
          <t>unified_impact(seed="&lt;任意&gt;")</t>
        </is>
      </c>
      <c r="F15" s="2" t="inlineStr">
        <is>
          <t>available=false + note "codegraph CLI not on PATH; lexical hits included"</t>
        </is>
      </c>
      <c r="G15" s="2" t="inlineStr">
        <is>
          <t>⭐CLI 缺失降级:验证不假装有调用图。先跑 Part 0 确认 codegraph 是否真在 PATH</t>
        </is>
      </c>
      <c r="H15" s="5" t="inlineStr"/>
      <c r="I15" s="5" t="inlineStr"/>
      <c r="J15" s="5" t="inlineStr">
        <is>
          <t>待测</t>
        </is>
      </c>
    </row>
    <row r="16" ht="62" customHeight="1">
      <c r="A16" s="2" t="inlineStr">
        <is>
          <t>T13</t>
        </is>
      </c>
      <c r="B16" s="3" t="inlineStr">
        <is>
          <t>call_graph</t>
        </is>
      </c>
      <c r="C16" s="8" t="inlineStr">
        <is>
          <t>🔻 降级</t>
        </is>
      </c>
      <c r="D16" s="2" t="inlineStr">
        <is>
          <t>给我 codegraph explore IngressService 的原始结果</t>
        </is>
      </c>
      <c r="E16" s="2" t="inlineStr">
        <is>
          <t>call_graph(query="IngressService")</t>
        </is>
      </c>
      <c r="F16" s="2" t="inlineStr">
        <is>
          <t>路由到定义它的 bundle 的原始 explore 输出。**另跑两条降级路径**(同 T12b/c):未索引仓库符号 + CLI 缺失;确认降级时诚实,不吐一个看着权威的裸 dump</t>
        </is>
      </c>
      <c r="G16" s="2" t="inlineStr">
        <is>
          <t>补未索引/CLI 缺失降级(之前只有成功路径)</t>
        </is>
      </c>
      <c r="H16" s="5" t="inlineStr"/>
      <c r="I16" s="5" t="inlineStr"/>
      <c r="J16" s="5" t="inlineStr">
        <is>
          <t>待测</t>
        </is>
      </c>
    </row>
    <row r="17" ht="62" customHeight="1">
      <c r="A17" s="2" t="inlineStr">
        <is>
          <t>T14</t>
        </is>
      </c>
      <c r="B17" s="3" t="inlineStr">
        <is>
          <t>show_arch</t>
        </is>
      </c>
      <c r="C17" s="4" t="inlineStr">
        <is>
          <t>🟢 冒烟</t>
        </is>
      </c>
      <c r="D17" s="2" t="inlineStr">
        <is>
          <t>SMS 渠道挂了会影响什么？</t>
        </is>
      </c>
      <c r="E17" s="2" t="inlineStr">
        <is>
          <t>show_arch(kind="channel", value="sms")</t>
        </is>
      </c>
      <c r="F17" s="2" t="inlineStr">
        <is>
          <t>内嵌架构图,SMS 链高亮 + 文字说明。**另补另外两种 kind**(source-system=PEGA 见 R47 #13):vendor("Sinch 出问题了"→kind=vendor,value=sinch)、use-case(kind=use-case,value=K3002)</t>
        </is>
      </c>
      <c r="G17" s="2" t="inlineStr">
        <is>
          <t>补 vendor / use-case 两种 kind</t>
        </is>
      </c>
      <c r="H17" s="5" t="inlineStr"/>
      <c r="I17" s="5" t="inlineStr"/>
      <c r="J17" s="5" t="inlineStr">
        <is>
          <t>待测</t>
        </is>
      </c>
    </row>
    <row r="18" ht="62" customHeight="1">
      <c r="A18" s="2" t="inlineStr">
        <is>
          <t>T15</t>
        </is>
      </c>
      <c r="B18" s="3" t="inlineStr">
        <is>
          <t>show_impact</t>
        </is>
      </c>
      <c r="C18" s="4" t="inlineStr">
        <is>
          <t>🟢 冒烟</t>
        </is>
      </c>
      <c r="D18" s="2" t="inlineStr">
        <is>
          <t>改 amet-mdc-hsbc-cm-outbound-api 会连累谁？（要图）</t>
        </is>
      </c>
      <c r="E18" s="2" t="inlineStr">
        <is>
          <t>show_impact(repo="amet-mdc-hsbc-cm-outbound-api")</t>
        </is>
      </c>
      <c r="F18" s="2" t="inlineStr">
        <is>
          <t>内嵌爆炸半径图 + 下游(受影响)/上游(依赖)计数</t>
        </is>
      </c>
      <c r="G18" s="2" t="inlineStr">
        <is>
          <t>验证内嵌视图 + 计数方向不反(曾经反过)</t>
        </is>
      </c>
      <c r="H18" s="5" t="inlineStr"/>
      <c r="I18" s="5" t="inlineStr"/>
      <c r="J18" s="5" t="inlineStr">
        <is>
          <t>待测</t>
        </is>
      </c>
    </row>
    <row r="19" ht="62" customHeight="1">
      <c r="A19" s="2" t="inlineStr">
        <is>
          <t>T16</t>
        </is>
      </c>
      <c r="B19" s="3" t="inlineStr">
        <is>
          <t>source_system_impact</t>
        </is>
      </c>
      <c r="C19" s="7" t="inlineStr">
        <is>
          <t>↩ 见R47</t>
        </is>
      </c>
      <c r="D19" s="2" t="inlineStr">
        <is>
          <t>（已在 RUNBOOK-47 覆盖）</t>
        </is>
      </c>
      <c r="E19" s="2" t="inlineStr">
        <is>
          <t>见 RUNBOOK-47 用例 10 / 11 / 12</t>
        </is>
      </c>
      <c r="F19" s="2" t="inlineStr">
        <is>
          <t>无需在此重复;交叉引用</t>
        </is>
      </c>
      <c r="G19" s="2" t="inlineStr">
        <is>
          <t>含撞名消歧(MDC/PEGA 该走这里而非 list_repos)</t>
        </is>
      </c>
      <c r="H19" s="2" t="inlineStr"/>
      <c r="I19" s="2" t="inlineStr"/>
      <c r="J19" s="2" t="inlineStr">
        <is>
          <t>N/A</t>
        </is>
      </c>
    </row>
    <row r="20" ht="62" customHeight="1">
      <c r="A20" s="2" t="inlineStr">
        <is>
          <t>T17</t>
        </is>
      </c>
      <c r="B20" s="3" t="inlineStr">
        <is>
          <t>list_source_systems</t>
        </is>
      </c>
      <c r="C20" s="4" t="inlineStr">
        <is>
          <t>🟢 冒烟</t>
        </is>
      </c>
      <c r="D20" s="2" t="inlineStr">
        <is>
          <t>有哪些上游系统？</t>
        </is>
      </c>
      <c r="E20" s="2" t="inlineStr">
        <is>
          <t>list_source_systems()</t>
        </is>
      </c>
      <c r="F20" s="2" t="inlineStr">
        <is>
          <t>规范化后的上游系统列表(MDC/PEGA/eAlert/PowerCard…)+ use case 计数</t>
        </is>
      </c>
      <c r="G20" s="2" t="inlineStr">
        <is>
          <t>冒烟:选择器是否正常;拼写/大小写变体是否折叠成一条</t>
        </is>
      </c>
      <c r="H20" s="5" t="inlineStr"/>
      <c r="I20" s="5" t="inlineStr"/>
      <c r="J20" s="5" t="inlineStr">
        <is>
          <t>待测</t>
        </is>
      </c>
    </row>
    <row r="21" ht="62" customHeight="1">
      <c r="A21" s="2" t="inlineStr">
        <is>
          <t>T18</t>
        </is>
      </c>
      <c r="B21" s="3" t="inlineStr">
        <is>
          <t>usecase_impact</t>
        </is>
      </c>
      <c r="C21" s="6" t="inlineStr">
        <is>
          <t>⚠️ 探测</t>
        </is>
      </c>
      <c r="D21" s="2" t="inlineStr">
        <is>
          <t>use case K3002 是什么？渠道/上游/owner？</t>
        </is>
      </c>
      <c r="E21" s="2" t="inlineStr">
        <is>
          <t>usecase_impact(use_case_id="K3002")</t>
        </is>
      </c>
      <c r="F21" s="2" t="inlineStr">
        <is>
          <t>全貌:身份/渠道(channels_declared)/上游/owner/rule_text AST。用 K3002(Codex 实测在 UAT 主数据里且能真正覆盖 rule_text_ast.semantics=unconfirmed;M2050 覆盖不全)。semantics=unconfirmed 时**不能当成已断言的 fallback 顺序**</t>
        </is>
      </c>
      <c r="G21" s="2" t="inlineStr">
        <is>
          <t>验证不把结构树误读为已确认的渠道优先级</t>
        </is>
      </c>
      <c r="H21" s="5" t="inlineStr"/>
      <c r="I21" s="5" t="inlineStr"/>
      <c r="J21" s="5" t="inlineStr">
        <is>
          <t>待测</t>
        </is>
      </c>
    </row>
    <row r="22" ht="62" customHeight="1">
      <c r="A22" s="2" t="inlineStr">
        <is>
          <t>T19</t>
        </is>
      </c>
      <c r="B22" s="3" t="inlineStr">
        <is>
          <t>search_usecases</t>
        </is>
      </c>
      <c r="C22" s="4" t="inlineStr">
        <is>
          <t>🟢 冒烟</t>
        </is>
      </c>
      <c r="D22" s="2" t="inlineStr">
        <is>
          <t>HK 的 SMS use case 有哪些？</t>
        </is>
      </c>
      <c r="E22" s="2" t="inlineStr">
        <is>
          <t>search_usecases(channel="sms", country="HK")</t>
        </is>
      </c>
      <c r="F22" s="2" t="inlineStr">
        <is>
          <t>分页匹配列表 + 说明「显示前 N / 共 M」</t>
        </is>
      </c>
      <c r="G22" s="2" t="inlineStr">
        <is>
          <t>冒烟:多条件过滤 + 分页</t>
        </is>
      </c>
      <c r="H22" s="5" t="inlineStr"/>
      <c r="I22" s="5" t="inlineStr"/>
      <c r="J22" s="5" t="inlineStr">
        <is>
          <t>待测</t>
        </is>
      </c>
    </row>
    <row r="23" ht="62" customHeight="1">
      <c r="A23" s="2" t="inlineStr">
        <is>
          <t>T20</t>
        </is>
      </c>
      <c r="B23" s="3" t="inlineStr">
        <is>
          <t>usecase_quality_findings</t>
        </is>
      </c>
      <c r="C23" s="6" t="inlineStr">
        <is>
          <t>⚠️ 探测</t>
        </is>
      </c>
      <c r="D23" s="2" t="inlineStr">
        <is>
          <t>有哪些 use case 配置有问题？</t>
        </is>
      </c>
      <c r="E23" s="2" t="inlineStr">
        <is>
          <t>usecase_quality_findings()</t>
        </is>
      </c>
      <c r="F23" s="2" t="inlineStr">
        <is>
          <t>按严重度排的 findings + counts_by_severity;**必须说明是「标记的分歧」不是「确认的生产故障」**</t>
        </is>
      </c>
      <c r="G23" s="2" t="inlineStr">
        <is>
          <t>验证不过度断言成生产故障</t>
        </is>
      </c>
      <c r="H23" s="5" t="inlineStr"/>
      <c r="I23" s="5" t="inlineStr"/>
      <c r="J23" s="5" t="inlineStr">
        <is>
          <t>待测</t>
        </is>
      </c>
    </row>
    <row r="24" ht="62" customHeight="1">
      <c r="A24" s="2" t="inlineStr">
        <is>
          <t>T21</t>
        </is>
      </c>
      <c r="B24" s="3" t="inlineStr">
        <is>
          <t>show_coverage</t>
        </is>
      </c>
      <c r="C24" s="4" t="inlineStr">
        <is>
          <t>🟢 冒烟</t>
        </is>
      </c>
      <c r="D24" s="2" t="inlineStr">
        <is>
          <t>有哪些 SMS 仓库？给我看全景</t>
        </is>
      </c>
      <c r="E24" s="2" t="inlineStr">
        <is>
          <t>show_coverage(kind="channel", value="sms")</t>
        </is>
      </c>
      <c r="F24" s="2" t="inlineStr">
        <is>
          <t>内嵌 392 仓库全景(SMS 筛选)</t>
        </is>
      </c>
      <c r="G24" s="2" t="inlineStr">
        <is>
          <t>注意:只返回 URL,模型无法二次推理据此枚举</t>
        </is>
      </c>
      <c r="H24" s="5" t="inlineStr"/>
      <c r="I24" s="5" t="inlineStr"/>
      <c r="J24" s="5" t="inlineStr">
        <is>
          <t>待测</t>
        </is>
      </c>
    </row>
  </sheetData>
  <autoFilter ref="A1:J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9" t="inlineStr">
        <is>
          <t>RUNBOOK-48 全工具冒烟 — 汇总</t>
        </is>
      </c>
    </row>
    <row r="3">
      <c r="A3" s="10" t="inlineStr">
        <is>
          <t>用例总数(不含↩交叉引用)</t>
        </is>
      </c>
      <c r="B3" s="11">
        <f>COUNTA(全工具冒烟!A2:A24)-COUNTIF(全工具冒烟!C2:C24,"↩*")</f>
        <v/>
      </c>
    </row>
    <row r="4">
      <c r="A4" s="10" t="inlineStr">
        <is>
          <t>🟢 冒烟</t>
        </is>
      </c>
      <c r="B4" s="11">
        <f>COUNTIF(全工具冒烟!C2:C24,"🟢*")</f>
        <v/>
      </c>
    </row>
    <row r="5">
      <c r="A5" s="10" t="inlineStr">
        <is>
          <t>⚠️ 探测</t>
        </is>
      </c>
      <c r="B5" s="11">
        <f>COUNTIF(全工具冒烟!C2:C24,"⚠️*")</f>
        <v/>
      </c>
    </row>
    <row r="6">
      <c r="A6" s="10" t="inlineStr">
        <is>
          <t>🔻 降级(需内网特殊 setup)</t>
        </is>
      </c>
      <c r="B6" s="11">
        <f>COUNTIF(全工具冒烟!C2:C24,"🔻*")</f>
        <v/>
      </c>
    </row>
    <row r="7">
      <c r="A7" s="10" t="inlineStr">
        <is>
          <t>↩ 交叉引用 RUNBOOK-47</t>
        </is>
      </c>
      <c r="B7" s="11">
        <f>COUNTIF(全工具冒烟!C2:C24,"↩*")</f>
        <v/>
      </c>
    </row>
    <row r="8">
      <c r="A8" s="10" t="inlineStr">
        <is>
          <t>已判定 PASS</t>
        </is>
      </c>
      <c r="B8" s="11">
        <f>COUNTIF(全工具冒烟!J2:J24,"PASS")</f>
        <v/>
      </c>
    </row>
    <row r="9">
      <c r="A9" s="10" t="inlineStr">
        <is>
          <t>已判定 FAIL</t>
        </is>
      </c>
      <c r="B9" s="11">
        <f>COUNTIF(全工具冒烟!J2:J24,"FAIL")</f>
        <v/>
      </c>
    </row>
    <row r="12">
      <c r="A12" s="12" t="inlineStr">
        <is>
          <t>说明</t>
        </is>
      </c>
    </row>
    <row r="13" ht="44" customHeight="1">
      <c r="A13" s="13" t="inlineStr">
        <is>
          <t>1. 本表配套 RUNBOOK-48-all-tools-smoke-verify.md（repo 根目录，已 push）；内网按 runbook 逐条执行，黄色三列(实测路由/实测答案/判定)填回。</t>
        </is>
      </c>
    </row>
    <row r="14" ht="44" customHeight="1">
      <c r="A14" s="13" t="inlineStr">
        <is>
          <t>2. 类型:🟢冒烟=每个工具至少 1 条应通过的基本用例;⚠️探测=易过度断言/漏报的风险点;🔻降级=CodeGraph 的缺失/CLI-不在-PATH 路径,需内网特殊 setup(见 runbook Part 0/B)。</t>
        </is>
      </c>
    </row>
    <row r="15" ht="44" customHeight="1">
      <c r="A15" s="13" t="inlineStr">
        <is>
          <t>3. ‼️ 最关键的是 T12a/b/c 与 T13(CodeGraph):unified_impact/call_graph 的失败模式是「静默退回 grep」,答案看着正常其实只是文本匹配——RUNBOOK-47 完全没测这块。先跑 runbook Part 0 确认 codegraph 到底在不在 PATH、索引了多少仓库。</t>
        </is>
      </c>
    </row>
    <row r="16" ht="44" customHeight="1">
      <c r="A16" s="13" t="inlineStr">
        <is>
          <t>4. T8 / T16 是 list_repos / source_system_impact,已在 RUNBOOK-47 覆盖,此处只交叉引用不重复测。</t>
        </is>
      </c>
    </row>
    <row r="17" ht="44" customHeight="1">
      <c r="A17" s="13" t="inlineStr">
        <is>
          <t>5. 前置条件:T17-T20(use case 工具)跑之前先设 $env:SDLC_USECASE_DATASET="index/usecase-snapshots/uat/20260720-1730" 并重启,否则会不可用/错误降级(见 runbook Part 0.3)。</t>
        </is>
      </c>
    </row>
    <row r="18" ht="44" customHeight="1">
      <c r="A18" s="13" t="inlineStr">
        <is>
          <t>6. K3002 是 Codex 实测可用的固定 use_case_id(同时在 UAT 主数据和 dev/SCT 快照里,能覆盖 rule_text AST);&lt;完整topic&gt;/&lt;未索引仓库的类&gt; 这类占位内网用真实数据替换,找靶子步骤见 runbook Part B(用 manifest 的 staged_repos,备选靶子 SapiAutoScanConfig)。</t>
        </is>
      </c>
    </row>
  </sheetData>
  <mergeCells count="7">
    <mergeCell ref="A18:H18"/>
    <mergeCell ref="A15:H15"/>
    <mergeCell ref="A1:C1"/>
    <mergeCell ref="A16:H16"/>
    <mergeCell ref="A13:H13"/>
    <mergeCell ref="A14:H14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2026-07-22T07:17:51Z</dcterms:created>
  <dcterms:modified xmlns:dcterms="http://purl.org/dc/terms/" xmlns:xsi="http://www.w3.org/2001/XMLSchema-instance" xsi:type="dcterms:W3CDTF">2026-07-22T07:17:51Z</dcterms:modified>
</cp:coreProperties>
</file>