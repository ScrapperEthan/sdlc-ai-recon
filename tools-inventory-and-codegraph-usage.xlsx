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具清单" sheetId="1" state="visible" r:id="rId1"/>
    <sheet xmlns:r="http://schemas.openxmlformats.org/officeDocument/2006/relationships" name="覆盖分析与结论" sheetId="2" state="visible" r:id="rId2"/>
  </sheets>
  <definedNames>
    <definedName name="_xlnm._FilterDatabase" localSheetId="0" hidden="1">'工具清单'!$A$1:$L$1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46" customWidth="1" min="4" max="4"/>
    <col width="30" customWidth="1" min="5" max="5"/>
    <col width="26" customWidth="1" min="6" max="6"/>
    <col width="30" customWidth="1" min="7" max="7"/>
    <col width="11" customWidth="1" min="8" max="8"/>
    <col width="34" customWidth="1" min="9" max="9"/>
    <col width="50" customWidth="1" min="10" max="10"/>
    <col width="12" customWidth="1" min="11" max="11"/>
    <col width="44" customWidth="1" min="12" max="12"/>
  </cols>
  <sheetData>
    <row r="1">
      <c r="A1" s="1" t="inlineStr">
        <is>
          <t>#</t>
        </is>
      </c>
      <c r="B1" s="1" t="inlineStr">
        <is>
          <t>工具名</t>
        </is>
      </c>
      <c r="C1" s="1" t="inlineStr">
        <is>
          <t>一句话是什么</t>
        </is>
      </c>
      <c r="D1" s="1" t="inlineStr">
        <is>
          <t>大白话(做什么·原理)</t>
        </is>
      </c>
      <c r="E1" s="1" t="inlineStr">
        <is>
          <t>何时调用(触发场景)</t>
        </is>
      </c>
      <c r="F1" s="1" t="inlineStr">
        <is>
          <t>解决什么问题</t>
        </is>
      </c>
      <c r="G1" s="1" t="inlineStr">
        <is>
          <t>底层实现·数据源</t>
        </is>
      </c>
      <c r="H1" s="1" t="inlineStr">
        <is>
          <t>用CodeGraph</t>
        </is>
      </c>
      <c r="I1" s="1" t="inlineStr">
        <is>
          <t>CodeGraph 原因·用途</t>
        </is>
      </c>
      <c r="J1" s="1" t="inlineStr">
        <is>
          <t>CodeGraph 风险</t>
        </is>
      </c>
      <c r="K1" s="1" t="inlineStr">
        <is>
          <t>RUNBOOK-47 覆盖</t>
        </is>
      </c>
      <c r="L1" s="1" t="inlineStr">
        <is>
          <t>覆盖详情·建议补测</t>
        </is>
      </c>
    </row>
    <row r="2" ht="118" customHeight="1">
      <c r="A2" s="2" t="n">
        <v>1</v>
      </c>
      <c r="B2" s="3" t="inlineStr">
        <is>
          <t>impact</t>
        </is>
      </c>
      <c r="C2" s="2" t="inlineStr">
        <is>
          <t>依赖爆炸半径:谁依赖这个仓库、这个仓库依赖谁</t>
        </is>
      </c>
      <c r="D2" s="2" t="inlineStr">
        <is>
          <t>给一个仓库名,返回「谁依赖它(改了会连累谁)」和「它依赖谁」。原理:读依赖图 internal_edges.csv,transitive=true 时做 BFS 闭包。</t>
        </is>
      </c>
      <c r="E2" s="2" t="inlineStr">
        <is>
          <t>「改 X 会影响谁」「X 依赖了哪些库」「X 能不能随便改」</t>
        </is>
      </c>
      <c r="F2" s="2" t="inlineStr">
        <is>
          <t>变更影响评估、识别下游连带</t>
        </is>
      </c>
      <c r="G2" s="2" t="inlineStr">
        <is>
          <t>graph.impact ← recon_out/internal_edges.csv</t>
        </is>
      </c>
      <c r="H2" s="2" t="inlineStr">
        <is>
          <t>否</t>
        </is>
      </c>
      <c r="I2" s="2" t="inlineStr">
        <is>
          <t>—</t>
        </is>
      </c>
      <c r="J2" s="2" t="inlineStr">
        <is>
          <t>—</t>
        </is>
      </c>
      <c r="K2" s="4" t="inlineStr">
        <is>
          <t>🟡 部分</t>
        </is>
      </c>
      <c r="L2" s="2" t="inlineStr">
        <is>
          <t>Part C(U7)脚本里用到 graph.impact,但没有独立的 chat 用例。建议补 1 条「改 X 会连累谁」正向用例</t>
        </is>
      </c>
    </row>
    <row r="3" ht="118" customHeight="1">
      <c r="A3" s="2" t="n">
        <v>2</v>
      </c>
      <c r="B3" s="3" t="inlineStr">
        <is>
          <t>hubs</t>
        </is>
      </c>
      <c r="C3" s="2" t="inlineStr">
        <is>
          <t>最被依赖的仓库(最危险的改动点)</t>
        </is>
      </c>
      <c r="D3" s="2" t="inlineStr">
        <is>
          <t>列出被依赖次数最多的 top N 仓库。原理:依赖图反向边计数排序。</t>
        </is>
      </c>
      <c r="E3" s="2" t="inlineStr">
        <is>
          <t>「哪些仓库最核心」「哪些库最不能碰」</t>
        </is>
      </c>
      <c r="F3" s="2" t="inlineStr">
        <is>
          <t>识别高风险共享库/变更雷区</t>
        </is>
      </c>
      <c r="G3" s="2" t="inlineStr">
        <is>
          <t>graph.hubs ← internal_edges.csv</t>
        </is>
      </c>
      <c r="H3" s="2" t="inlineStr">
        <is>
          <t>否</t>
        </is>
      </c>
      <c r="I3" s="2" t="inlineStr">
        <is>
          <t>—</t>
        </is>
      </c>
      <c r="J3" s="2" t="inlineStr">
        <is>
          <t>—</t>
        </is>
      </c>
      <c r="K3" s="5" t="inlineStr">
        <is>
          <t>❌ 未覆盖</t>
        </is>
      </c>
      <c r="L3" s="2" t="inlineStr">
        <is>
          <t>完全没测。建议补 1 条 smoke:「最核心的仓库有哪些」</t>
        </is>
      </c>
    </row>
    <row r="4" ht="118" customHeight="1">
      <c r="A4" s="2" t="n">
        <v>3</v>
      </c>
      <c r="B4" s="3" t="inlineStr">
        <is>
          <t>consumers</t>
        </is>
      </c>
      <c r="C4" s="2" t="inlineStr">
        <is>
          <t>消费某 topic/队列的仓库</t>
        </is>
      </c>
      <c r="D4" s="2" t="inlineStr">
        <is>
          <t>给一个 destination(topic/队列),返回消费它的仓库。原理:message_edges.csv 按 destination 子串匹配。</t>
        </is>
      </c>
      <c r="E4" s="2" t="inlineStr">
        <is>
          <t>「谁在消费 topic X」「这个队列谁在收」</t>
        </is>
      </c>
      <c r="F4" s="2" t="inlineStr">
        <is>
          <t>消息链下游追踪、outage 影响倒推</t>
        </is>
      </c>
      <c r="G4" s="2" t="inlineStr">
        <is>
          <t>messages.who_consumes ← index/message_edges.csv</t>
        </is>
      </c>
      <c r="H4" s="2" t="inlineStr">
        <is>
          <t>否</t>
        </is>
      </c>
      <c r="I4" s="2" t="inlineStr">
        <is>
          <t>—</t>
        </is>
      </c>
      <c r="J4" s="2" t="inlineStr">
        <is>
          <t>—</t>
        </is>
      </c>
      <c r="K4" s="4" t="inlineStr">
        <is>
          <t>🟡 部分</t>
        </is>
      </c>
      <c r="L4" s="2" t="inlineStr">
        <is>
          <t>Part C 脚本用到,无独立 chat 用例。建议补</t>
        </is>
      </c>
    </row>
    <row r="5" ht="118" customHeight="1">
      <c r="A5" s="2" t="n">
        <v>4</v>
      </c>
      <c r="B5" s="3" t="inlineStr">
        <is>
          <t>producers</t>
        </is>
      </c>
      <c r="C5" s="2" t="inlineStr">
        <is>
          <t>生产到某 topic/队列的仓库</t>
        </is>
      </c>
      <c r="D5" s="2" t="inlineStr">
        <is>
          <t>给一个 destination,返回生产/发送到它的仓库。原理:同 consumers,取生产方。</t>
        </is>
      </c>
      <c r="E5" s="2" t="inlineStr">
        <is>
          <t>「谁在往 topic X 发消息」</t>
        </is>
      </c>
      <c r="F5" s="2" t="inlineStr">
        <is>
          <t>消息链上游追踪</t>
        </is>
      </c>
      <c r="G5" s="2" t="inlineStr">
        <is>
          <t>messages.who_produces ← message_edges.csv</t>
        </is>
      </c>
      <c r="H5" s="2" t="inlineStr">
        <is>
          <t>否</t>
        </is>
      </c>
      <c r="I5" s="2" t="inlineStr">
        <is>
          <t>—</t>
        </is>
      </c>
      <c r="J5" s="2" t="inlineStr">
        <is>
          <t>—</t>
        </is>
      </c>
      <c r="K5" s="4" t="inlineStr">
        <is>
          <t>🟡 部分</t>
        </is>
      </c>
      <c r="L5" s="2" t="inlineStr">
        <is>
          <t>Part C 脚本用到,无独立 chat 用例。建议补</t>
        </is>
      </c>
    </row>
    <row r="6" ht="118" customHeight="1">
      <c r="A6" s="2" t="n">
        <v>5</v>
      </c>
      <c r="B6" s="3" t="inlineStr">
        <is>
          <t>repo_routes</t>
        </is>
      </c>
      <c r="C6" s="2" t="inlineStr">
        <is>
          <t>某仓库相关的所有消息边(产+消)</t>
        </is>
      </c>
      <c r="D6" s="2" t="inlineStr">
        <is>
          <t>给一个仓库,返回它参与的全部消息边(既发又收)。原理:message_edges.csv 按 repo 过滤。</t>
        </is>
      </c>
      <c r="E6" s="2" t="inlineStr">
        <is>
          <t>「X 收发哪些消息/topic」</t>
        </is>
      </c>
      <c r="F6" s="2" t="inlineStr">
        <is>
          <t>单仓库的消息面全貌</t>
        </is>
      </c>
      <c r="G6" s="2" t="inlineStr">
        <is>
          <t>messages.routes_for_repo ← message_edges.csv</t>
        </is>
      </c>
      <c r="H6" s="2" t="inlineStr">
        <is>
          <t>否</t>
        </is>
      </c>
      <c r="I6" s="2" t="inlineStr">
        <is>
          <t>—</t>
        </is>
      </c>
      <c r="J6" s="2" t="inlineStr">
        <is>
          <t>—</t>
        </is>
      </c>
      <c r="K6" s="4" t="inlineStr">
        <is>
          <t>🟡 部分</t>
        </is>
      </c>
      <c r="L6" s="2" t="inlineStr">
        <is>
          <t>Part C 脚本用到(routes_for_repo),无独立 chat 用例。建议补</t>
        </is>
      </c>
    </row>
    <row r="7" ht="118" customHeight="1">
      <c r="A7" s="2" t="n">
        <v>6</v>
      </c>
      <c r="B7" s="3" t="inlineStr">
        <is>
          <t>usecase_route</t>
        </is>
      </c>
      <c r="C7" s="2" t="inlineStr">
        <is>
          <t>use case ↔ topic 互查(dev/SCT 路由快照)</t>
        </is>
      </c>
      <c r="D7" s="2" t="inlineStr">
        <is>
          <t>只传 use_case_id→该 UC 的 topic;只传 topic→该 topic 的 use case;两个都传=配对校验。原理:tbl_event_router_usecase_topic 快照。</t>
        </is>
      </c>
      <c r="E7" s="2" t="inlineStr">
        <is>
          <t>「use case X 走哪个 topic」「topic 有哪些 use case」</t>
        </is>
      </c>
      <c r="F7" s="2" t="inlineStr">
        <is>
          <t>use case 与消息路由的映射</t>
        </is>
      </c>
      <c r="G7" s="2" t="inlineStr">
        <is>
          <t>messages.usecase_route ← 路由快照 CSV</t>
        </is>
      </c>
      <c r="H7" s="2" t="inlineStr">
        <is>
          <t>否</t>
        </is>
      </c>
      <c r="I7" s="2" t="inlineStr">
        <is>
          <t>—</t>
        </is>
      </c>
      <c r="J7" s="2" t="inlineStr">
        <is>
          <t>—</t>
        </is>
      </c>
      <c r="K7" s="5" t="inlineStr">
        <is>
          <t>❌ 未覆盖</t>
        </is>
      </c>
      <c r="L7" s="2" t="inlineStr">
        <is>
          <t>完全没测。建议补正反两向各 1 条,并验证 dev/SCT-非生产 免责声明</t>
        </is>
      </c>
    </row>
    <row r="8" ht="118" customHeight="1">
      <c r="A8" s="2" t="n">
        <v>7</v>
      </c>
      <c r="B8" s="3" t="inlineStr">
        <is>
          <t>use_cases_for_topic</t>
        </is>
      </c>
      <c r="C8" s="2" t="inlineStr">
        <is>
          <t>反查:给 topic,列出路由到它的所有 use case</t>
        </is>
      </c>
      <c r="D8" s="2" t="inlineStr">
        <is>
          <t>给一个完整 topic,返回所有路由到它的 use case(带 total/truncated)。原理:路由快照反向索引。</t>
        </is>
      </c>
      <c r="E8" s="2" t="inlineStr">
        <is>
          <t>「这个 topic 变了还有哪些 use case 受影响」「还有哪些 use case」</t>
        </is>
      </c>
      <c r="F8" s="2" t="inlineStr">
        <is>
          <t>topic/渠道变更的横向影响面</t>
        </is>
      </c>
      <c r="G8" s="2" t="inlineStr">
        <is>
          <t>messages.reverse_lookup_use_cases ← 路由快照</t>
        </is>
      </c>
      <c r="H8" s="2" t="inlineStr">
        <is>
          <t>否</t>
        </is>
      </c>
      <c r="I8" s="2" t="inlineStr">
        <is>
          <t>—</t>
        </is>
      </c>
      <c r="J8" s="2" t="inlineStr">
        <is>
          <t>—</t>
        </is>
      </c>
      <c r="K8" s="5" t="inlineStr">
        <is>
          <t>❌ 未覆盖</t>
        </is>
      </c>
      <c r="L8" s="2" t="inlineStr">
        <is>
          <t>完全没测。建议补,重点验证 truncated 时不谎报「没有其它」</t>
        </is>
      </c>
    </row>
    <row r="9" ht="118" customHeight="1">
      <c r="A9" s="2" t="n">
        <v>8</v>
      </c>
      <c r="B9" s="3" t="inlineStr">
        <is>
          <t>list_repos</t>
        </is>
      </c>
      <c r="C9" s="2" t="inlineStr">
        <is>
          <t>仓库目录查询(名字/角色/渠道/系统/分组)</t>
        </is>
      </c>
      <c r="D9" s="2" t="inlineStr">
        <is>
          <t>按 query(名字子串)/mode(api·job·core·lib)/channel/system/group=mdc/mdc_common 过滤仓库。原理:读 repo_tags.json 打的标签;group=mdc 走 amet-mdc∪mdc_common 并集。</t>
        </is>
      </c>
      <c r="E9" s="2" t="inlineStr">
        <is>
          <t>「X 有哪些仓库/有什么 API」「MDC 完整清单含 mc-hk-hase」</t>
        </is>
      </c>
      <c r="F9" s="2" t="inlineStr">
        <is>
          <t>本轮主角:仓库枚举、API 定位、MDC 完整口径</t>
        </is>
      </c>
      <c r="G9" s="2" t="inlineStr">
        <is>
          <t>repo_tags.filter_repos / mdc_repos ← index/repo_tags.json</t>
        </is>
      </c>
      <c r="H9" s="2" t="inlineStr">
        <is>
          <t>否</t>
        </is>
      </c>
      <c r="I9" s="2" t="inlineStr">
        <is>
          <t>—</t>
        </is>
      </c>
      <c r="J9" s="2" t="inlineStr">
        <is>
          <t>—</t>
        </is>
      </c>
      <c r="K9" s="6" t="inlineStr">
        <is>
          <t>✅ 覆盖</t>
        </is>
      </c>
      <c r="L9" s="2" t="inlineStr">
        <is>
          <t>重度覆盖:用例 1-9、14-20、U1、U6 + Part D 直接 dispatch 测试</t>
        </is>
      </c>
    </row>
    <row r="10" ht="118" customHeight="1">
      <c r="A10" s="2" t="n">
        <v>9</v>
      </c>
      <c r="B10" s="3" t="inlineStr">
        <is>
          <t>search_code</t>
        </is>
      </c>
      <c r="C10" s="2" t="inlineStr">
        <is>
          <t>在只读 mirror 里 grep 代码</t>
        </is>
      </c>
      <c r="D10" s="2" t="inlineStr">
        <is>
          <t>按 pattern 搜代码,返回 path:line:text;可传 repos 收窄到指定仓库。原理:ripgrep,无则 stdlib walk,20s deadline。</t>
        </is>
      </c>
      <c r="E10" s="2" t="inlineStr">
        <is>
          <t>找端点/类/方法的实际代码位置</t>
        </is>
      </c>
      <c r="F10" s="2" t="inlineStr">
        <is>
          <t>代码级证据、行号引用</t>
        </is>
      </c>
      <c r="G10" s="2" t="inlineStr">
        <is>
          <t>code.search_code ← mirror/</t>
        </is>
      </c>
      <c r="H10" s="2" t="inlineStr">
        <is>
          <t>否</t>
        </is>
      </c>
      <c r="I10" s="2" t="inlineStr">
        <is>
          <t>—</t>
        </is>
      </c>
      <c r="J10" s="2" t="inlineStr">
        <is>
          <t>—</t>
        </is>
      </c>
      <c r="K10" s="4" t="inlineStr">
        <is>
          <t>🟡 部分</t>
        </is>
      </c>
      <c r="L10" s="2" t="inlineStr">
        <is>
          <t>只在用例 1 的 recipe 里被提及(list_repos→search_code 找端点),无独立用例。建议补含 repos 收窄的正向用例</t>
        </is>
      </c>
    </row>
    <row r="11" ht="118" customHeight="1">
      <c r="A11" s="2" t="n">
        <v>10</v>
      </c>
      <c r="B11" s="3" t="inlineStr">
        <is>
          <t>read_file</t>
        </is>
      </c>
      <c r="C11" s="2" t="inlineStr">
        <is>
          <t>读源码(带行号)</t>
        </is>
      </c>
      <c r="D11" s="2" t="inlineStr">
        <is>
          <t>读 mirror 里某文件的指定行段。原理:直接读文件,做 mirror 越界校验。</t>
        </is>
      </c>
      <c r="E11" s="2" t="inlineStr">
        <is>
          <t>看某文件具体实现/确认某行</t>
        </is>
      </c>
      <c r="F11" s="2" t="inlineStr">
        <is>
          <t>精确行级引用</t>
        </is>
      </c>
      <c r="G11" s="2" t="inlineStr">
        <is>
          <t>code.read_file ← mirror/</t>
        </is>
      </c>
      <c r="H11" s="2" t="inlineStr">
        <is>
          <t>否</t>
        </is>
      </c>
      <c r="I11" s="2" t="inlineStr">
        <is>
          <t>—</t>
        </is>
      </c>
      <c r="J11" s="2" t="inlineStr">
        <is>
          <t>—</t>
        </is>
      </c>
      <c r="K11" s="5" t="inlineStr">
        <is>
          <t>❌ 未覆盖</t>
        </is>
      </c>
      <c r="L11" s="2" t="inlineStr">
        <is>
          <t>仅 case1 recipe 隐含。建议补 1 条 smoke</t>
        </is>
      </c>
    </row>
    <row r="12" ht="118" customHeight="1">
      <c r="A12" s="2" t="n">
        <v>11</v>
      </c>
      <c r="B12" s="3" t="inlineStr">
        <is>
          <t>trace</t>
        </is>
      </c>
      <c r="C12" s="2" t="inlineStr">
        <is>
          <t>把 use-case/destination 沿异步消息线拼起来</t>
        </is>
      </c>
      <c r="D12" s="2" t="inlineStr">
        <is>
          <t>给 use_case_id 或 destination,沿消息 wiring 串出端到端流。原理:flow.trace 拼接消息边。</t>
        </is>
      </c>
      <c r="E12" s="2" t="inlineStr">
        <is>
          <t>「这个 use case 的完整消息流是怎样的」</t>
        </is>
      </c>
      <c r="F12" s="2" t="inlineStr">
        <is>
          <t>端到端异步流可视化/追踪</t>
        </is>
      </c>
      <c r="G12" s="2" t="inlineStr">
        <is>
          <t>flow.trace ← message_edges.csv 等</t>
        </is>
      </c>
      <c r="H12" s="2" t="inlineStr">
        <is>
          <t>否</t>
        </is>
      </c>
      <c r="I12" s="2" t="inlineStr">
        <is>
          <t>—</t>
        </is>
      </c>
      <c r="J12" s="2" t="inlineStr">
        <is>
          <t>—</t>
        </is>
      </c>
      <c r="K12" s="5" t="inlineStr">
        <is>
          <t>❌ 未覆盖</t>
        </is>
      </c>
      <c r="L12" s="2" t="inlineStr">
        <is>
          <t>完全没测。建议补 1 条端到端 trace 用例</t>
        </is>
      </c>
    </row>
    <row r="13" ht="118" customHeight="1">
      <c r="A13" s="2" t="n">
        <v>12</v>
      </c>
      <c r="B13" s="3" t="inlineStr">
        <is>
          <t>unified_impact</t>
        </is>
      </c>
      <c r="C13" s="2" t="inlineStr">
        <is>
          <t>⭐跨仓库调用图 + 爆炸半径(真实「谁调谁」)</t>
        </is>
      </c>
      <c r="D13" s="2" t="inlineStr">
        <is>
          <t>给一个类/方法/服务/仓库(seed),返回真实调用方 + 依赖 + 消息 peer。原理:codegraph explore 在该符号所属 bundle 的 staging root 跑子进程,拿真实调用关系;外加依赖图+消息图。</t>
        </is>
      </c>
      <c r="E13" s="2" t="inlineStr">
        <is>
          <t>「谁调用了 X」「X 的调用链」「谁用了这个方法」</t>
        </is>
      </c>
      <c r="F13" s="2" t="inlineStr">
        <is>
          <t>精确的跨仓库调用关系(不是文本匹配)——变更/影响通知旗舰能力</t>
        </is>
      </c>
      <c r="G13" s="2" t="inlineStr">
        <is>
          <t>unified_impact.query → codegraph explore + graph + messages</t>
        </is>
      </c>
      <c r="H13" s="7" t="inlineStr">
        <is>
          <t>是</t>
        </is>
      </c>
      <c r="I13" s="7" t="inlineStr">
        <is>
          <t>search_code 只能给「文本里出现了 X」;要「谁真正调用了 X」的真实调用边,只有 CodeGraph 能给。这是它存在的唯一理由。</t>
        </is>
      </c>
      <c r="J13" s="7" t="inlineStr">
        <is>
          <t>① 覆盖只有 ~390/456,缺 66 个仓库的符号查不到 → 静默退回 grep;② 依赖 codegraph CLI 在 PATH 上,不在就 available=false 静默降级成文本命中;③ bundle 路由可能选错/符号不在该 bundle 索引 → 空结果;④ 每次子进程 60s 超时,慢且有 hang 风险;⑤ 索引是时点构建,mirror 更新后过期;⑥ 最大风险:失败时不报错、悄悄降级成 grep,答案看着正常其实只是文本匹配</t>
        </is>
      </c>
      <c r="K13" s="5" t="inlineStr">
        <is>
          <t>❌ 未覆盖</t>
        </is>
      </c>
      <c r="L13" s="2" t="inlineStr">
        <is>
          <t>‼️ 最高风险却完全没测。强烈建议补:已知符号(callers.available=true)、缺失仓库符号(应显式说降级)、codegraph 不在 PATH 时的降级路径,各 1 条</t>
        </is>
      </c>
    </row>
    <row r="14" ht="118" customHeight="1">
      <c r="A14" s="2" t="n">
        <v>13</v>
      </c>
      <c r="B14" s="3" t="inlineStr">
        <is>
          <t>call_graph</t>
        </is>
      </c>
      <c r="C14" s="2" t="inlineStr">
        <is>
          <t>⭐原始 codegraph explore 转储</t>
        </is>
      </c>
      <c r="D14" s="2" t="inlineStr">
        <is>
          <t>给一个符号,路由到定义它的 bundle,直接 codegraph explore 出原始结果。原理:同 unified_impact 但只给裸 dump,不含 deps/messages。</t>
        </is>
      </c>
      <c r="E14" s="2" t="inlineStr">
        <is>
          <t>只想要 codegraph 的原始调用图输出</t>
        </is>
      </c>
      <c r="F14" s="2" t="inlineStr">
        <is>
          <t>原始调用图(一般优先用 unified_impact)</t>
        </is>
      </c>
      <c r="G14" s="2" t="inlineStr">
        <is>
          <t>unified_impact.call_graph → codegraph explore</t>
        </is>
      </c>
      <c r="H14" s="7" t="inlineStr">
        <is>
          <t>是</t>
        </is>
      </c>
      <c r="I14" s="7" t="inlineStr">
        <is>
          <t>同 unified_impact:唯一给真实调用图的来源。</t>
        </is>
      </c>
      <c r="J14" s="7" t="inlineStr">
        <is>
          <t>同 unified_impact:覆盖缺口、CLI 依赖、路由错配、子进程超时、静默降级。且因为是裸 dump,降级/失败更不易被模型察觉</t>
        </is>
      </c>
      <c r="K14" s="5" t="inlineStr">
        <is>
          <t>❌ 未覆盖</t>
        </is>
      </c>
      <c r="L14" s="2" t="inlineStr">
        <is>
          <t>‼️ 完全没测。建议补 1 条,并验证路由失败/不在 PATH 时的行为</t>
        </is>
      </c>
    </row>
    <row r="15" ht="118" customHeight="1">
      <c r="A15" s="2" t="n">
        <v>14</v>
      </c>
      <c r="B15" s="3" t="inlineStr">
        <is>
          <t>show_arch</t>
        </is>
      </c>
      <c r="C15" s="2" t="inlineStr">
        <is>
          <t>内嵌架构图(渠道/vendor/上游/use case 高亮)</t>
        </is>
      </c>
      <c r="D15" s="2" t="inlineStr">
        <is>
          <t>给 kind(channel/vendor/source-system/use-case)+value,在回答里内嵌高亮架构图。原理:arch_focus.focus + outage_report 影响叠加。</t>
        </is>
      </c>
      <c r="E15" s="2" t="inlineStr">
        <is>
          <t>「SMS 挂了影响啥」「Sinch 出问题」「PEGA 从哪接进来」</t>
        </is>
      </c>
      <c r="F15" s="2" t="inlineStr">
        <is>
          <t>outage/接入点的可视化影响</t>
        </is>
      </c>
      <c r="G15" s="2" t="inlineStr">
        <is>
          <t>arch_focus.focus + outage_report ← arch_map + 快照</t>
        </is>
      </c>
      <c r="H15" s="2" t="inlineStr">
        <is>
          <t>否</t>
        </is>
      </c>
      <c r="I15" s="2" t="inlineStr">
        <is>
          <t>—</t>
        </is>
      </c>
      <c r="J15" s="2" t="inlineStr">
        <is>
          <t>—</t>
        </is>
      </c>
      <c r="K15" s="6" t="inlineStr">
        <is>
          <t>✅ 覆盖</t>
        </is>
      </c>
      <c r="L15" s="2" t="inlineStr">
        <is>
          <t>用例 13(PEGA 接入点)。建议再补一条 channel/vendor outage 变体</t>
        </is>
      </c>
    </row>
    <row r="16" ht="118" customHeight="1">
      <c r="A16" s="2" t="n">
        <v>15</v>
      </c>
      <c r="B16" s="3" t="inlineStr">
        <is>
          <t>show_impact</t>
        </is>
      </c>
      <c r="C16" s="2" t="inlineStr">
        <is>
          <t>内嵌依赖爆炸半径图(改某仓库)</t>
        </is>
      </c>
      <c r="D16" s="2" t="inlineStr">
        <is>
          <t>给一个仓库,内嵌依赖爆炸半径图 + 下游/上游计数。原理:graph.impact + impact.html 嵌入页。</t>
        </is>
      </c>
      <c r="E16" s="2" t="inlineStr">
        <is>
          <t>「改 X 会连累谁」(要图)</t>
        </is>
      </c>
      <c r="F16" s="2" t="inlineStr">
        <is>
          <t>变更影响的可视化</t>
        </is>
      </c>
      <c r="G16" s="2" t="inlineStr">
        <is>
          <t>graph.impact + /impact.html</t>
        </is>
      </c>
      <c r="H16" s="2" t="inlineStr">
        <is>
          <t>否</t>
        </is>
      </c>
      <c r="I16" s="2" t="inlineStr">
        <is>
          <t>—</t>
        </is>
      </c>
      <c r="J16" s="2" t="inlineStr">
        <is>
          <t>—</t>
        </is>
      </c>
      <c r="K16" s="5" t="inlineStr">
        <is>
          <t>❌ 未覆盖</t>
        </is>
      </c>
      <c r="L16" s="2" t="inlineStr">
        <is>
          <t>没测。建议补 1 条「改 X 会连累谁」并确认下游/上游计数方向没反</t>
        </is>
      </c>
    </row>
    <row r="17" ht="118" customHeight="1">
      <c r="A17" s="2" t="n">
        <v>16</v>
      </c>
      <c r="B17" s="3" t="inlineStr">
        <is>
          <t>source_system_impact</t>
        </is>
      </c>
      <c r="C17" s="2" t="inlineStr">
        <is>
          <t>上游业务系统爆炸半径(PEGA/MDC/…)</t>
        </is>
      </c>
      <c r="D17" s="2" t="inlineStr">
        <is>
          <t>给一个上游系统名,返回它喂的 use case、coverage funnel(configured/…/catalog_only 阶段)、渠道链、上下游仓库、分层 owner。原理:impact_report 按 source-system 聚合 use case 主数据。</t>
        </is>
      </c>
      <c r="E17" s="2" t="inlineStr">
        <is>
          <t>「PEGA 出问题影响哪些 use case/渠道」「改上游要通知谁」</t>
        </is>
      </c>
      <c r="F17" s="2" t="inlineStr">
        <is>
          <t>上游变更/故障的业务影响 + 通知对象</t>
        </is>
      </c>
      <c r="G17" s="2" t="inlineStr">
        <is>
          <t>impact_report.build_report(source-system:) ← use case 主数据</t>
        </is>
      </c>
      <c r="H17" s="2" t="inlineStr">
        <is>
          <t>否</t>
        </is>
      </c>
      <c r="I17" s="2" t="inlineStr">
        <is>
          <t>—</t>
        </is>
      </c>
      <c r="J17" s="2" t="inlineStr">
        <is>
          <t>—</t>
        </is>
      </c>
      <c r="K17" s="6" t="inlineStr">
        <is>
          <t>✅ 覆盖</t>
        </is>
      </c>
      <c r="L17" s="2" t="inlineStr">
        <is>
          <t>用例 10、11、12(含撞名消歧:MDC/PEGA 该走这里而非 list_repos)</t>
        </is>
      </c>
    </row>
    <row r="18" ht="118" customHeight="1">
      <c r="A18" s="2" t="n">
        <v>17</v>
      </c>
      <c r="B18" s="3" t="inlineStr">
        <is>
          <t>list_source_systems</t>
        </is>
      </c>
      <c r="C18" s="2" t="inlineStr">
        <is>
          <t>列出所有上游系统(规范化)</t>
        </is>
      </c>
      <c r="D18" s="2" t="inlineStr">
        <is>
          <t>列出去重规范化后的上游系统名 + use case 计数。原理:use case 主数据里 source_system 列折叠大小写/拼写变体。</t>
        </is>
      </c>
      <c r="E18" s="2" t="inlineStr">
        <is>
          <t>「有哪些上游系统」「名字对不上时消歧」</t>
        </is>
      </c>
      <c r="F18" s="2" t="inlineStr">
        <is>
          <t>source_system_impact 的选择器</t>
        </is>
      </c>
      <c r="G18" s="2" t="inlineStr">
        <is>
          <t>usecase_master.source_systems ← use case 主数据</t>
        </is>
      </c>
      <c r="H18" s="2" t="inlineStr">
        <is>
          <t>否</t>
        </is>
      </c>
      <c r="I18" s="2" t="inlineStr">
        <is>
          <t>—</t>
        </is>
      </c>
      <c r="J18" s="2" t="inlineStr">
        <is>
          <t>—</t>
        </is>
      </c>
      <c r="K18" s="5" t="inlineStr">
        <is>
          <t>❌ 未覆盖</t>
        </is>
      </c>
      <c r="L18" s="2" t="inlineStr">
        <is>
          <t>只作为「不该被误路由到」的反例出现,没有正向测试。建议补 1 条</t>
        </is>
      </c>
    </row>
    <row r="19" ht="118" customHeight="1">
      <c r="A19" s="2" t="n">
        <v>18</v>
      </c>
      <c r="B19" s="3" t="inlineStr">
        <is>
          <t>usecase_impact</t>
        </is>
      </c>
      <c r="C19" s="2" t="inlineStr">
        <is>
          <t>单个 use case 全貌</t>
        </is>
      </c>
      <c r="D19" s="2" t="inlineStr">
        <is>
          <t>给一个 use_case_id,返回身份/业务/治理、consent 预检、channels_declared、endpoint_repos、rule_text 结构树(AST)、一致性 findings、上下游仓库。原理:impact_report 按 use-case 聚合。</t>
        </is>
      </c>
      <c r="E19" s="2" t="inlineStr">
        <is>
          <t>「M2050 是什么」「M2050 的渠道/上游/owner」</t>
        </is>
      </c>
      <c r="F19" s="2" t="inlineStr">
        <is>
          <t>单个 use case 的完整档案</t>
        </is>
      </c>
      <c r="G19" s="2" t="inlineStr">
        <is>
          <t>impact_report.build_report(use-case:) ← use case 主数据</t>
        </is>
      </c>
      <c r="H19" s="2" t="inlineStr">
        <is>
          <t>否</t>
        </is>
      </c>
      <c r="I19" s="2" t="inlineStr">
        <is>
          <t>—</t>
        </is>
      </c>
      <c r="J19" s="2" t="inlineStr">
        <is>
          <t>—</t>
        </is>
      </c>
      <c r="K19" s="5" t="inlineStr">
        <is>
          <t>❌ 未覆盖</t>
        </is>
      </c>
      <c r="L19" s="2" t="inlineStr">
        <is>
          <t>没测。建议补 1 条已知 use_case_id 的全貌用例,并验证 rule_text AST 的 semantics=unconfirmed 不被当成断言</t>
        </is>
      </c>
    </row>
    <row r="20" ht="118" customHeight="1">
      <c r="A20" s="2" t="n">
        <v>19</v>
      </c>
      <c r="B20" s="3" t="inlineStr">
        <is>
          <t>search_usecases</t>
        </is>
      </c>
      <c r="C20" s="2" t="inlineStr">
        <is>
          <t>use case 目录搜索(~2800 行,分页)</t>
        </is>
      </c>
      <c r="D20" s="2" t="inlineStr">
        <is>
          <t>按 query/source_system/channel/country/service_line/delivery_mode 等过滤浏览 use case 目录,服务端分页。原理:扫 use case 主数据。</t>
        </is>
      </c>
      <c r="E20" s="2" t="inlineStr">
        <is>
          <t>「找匹配 X 的 use case」「HK 的 SMS use case」「PEGA 的批量 use case」</t>
        </is>
      </c>
      <c r="F20" s="2" t="inlineStr">
        <is>
          <t>use case 目录的筛选/浏览</t>
        </is>
      </c>
      <c r="G20" s="2" t="inlineStr">
        <is>
          <t>usecase_master.search_usecases ← use case 主数据</t>
        </is>
      </c>
      <c r="H20" s="2" t="inlineStr">
        <is>
          <t>否</t>
        </is>
      </c>
      <c r="I20" s="2" t="inlineStr">
        <is>
          <t>—</t>
        </is>
      </c>
      <c r="J20" s="2" t="inlineStr">
        <is>
          <t>—</t>
        </is>
      </c>
      <c r="K20" s="5" t="inlineStr">
        <is>
          <t>❌ 未覆盖</t>
        </is>
      </c>
      <c r="L20" s="2" t="inlineStr">
        <is>
          <t>没测。建议补 1 条多条件过滤 + 分页用例</t>
        </is>
      </c>
    </row>
    <row r="21" ht="118" customHeight="1">
      <c r="A21" s="2" t="n">
        <v>20</v>
      </c>
      <c r="B21" s="3" t="inlineStr">
        <is>
          <t>usecase_quality_findings</t>
        </is>
      </c>
      <c r="C21" s="2" t="inlineStr">
        <is>
          <t>数据质量/一致性看板</t>
        </is>
      </c>
      <c r="D21" s="2" t="inlineStr">
        <is>
          <t>跨整个活跃 use case 数据集列出配置问题(孤儿行、缺渠道规则、null 优先级、非法业务码、rule_text 与 channel_rule 冲突等),按严重度排序分页。原理:usecase_consistency 跨表比对。</t>
        </is>
      </c>
      <c r="E21" s="2" t="inlineStr">
        <is>
          <t>「有哪些 use case 配置有问题」「数据质量问题」</t>
        </is>
      </c>
      <c r="F21" s="2" t="inlineStr">
        <is>
          <t>配置一致性巡检(注意:是「标记的分歧」不是「确认的生产故障」)</t>
        </is>
      </c>
      <c r="G21" s="2" t="inlineStr">
        <is>
          <t>usecase_consistency.quality_findings ← use case 多表</t>
        </is>
      </c>
      <c r="H21" s="2" t="inlineStr">
        <is>
          <t>否</t>
        </is>
      </c>
      <c r="I21" s="2" t="inlineStr">
        <is>
          <t>—</t>
        </is>
      </c>
      <c r="J21" s="2" t="inlineStr">
        <is>
          <t>—</t>
        </is>
      </c>
      <c r="K21" s="5" t="inlineStr">
        <is>
          <t>❌ 未覆盖</t>
        </is>
      </c>
      <c r="L21" s="2" t="inlineStr">
        <is>
          <t>没测。建议补 1 条,并验证它明确说明是「flagged 分歧」而非「确认故障」</t>
        </is>
      </c>
    </row>
    <row r="22" ht="118" customHeight="1">
      <c r="A22" s="2" t="n">
        <v>21</v>
      </c>
      <c r="B22" s="3" t="inlineStr">
        <is>
          <t>show_coverage</t>
        </is>
      </c>
      <c r="C22" s="2" t="inlineStr">
        <is>
          <t>内嵌 392 仓库全景(渠道/关键词筛)</t>
        </is>
      </c>
      <c r="D22" s="2" t="inlineStr">
        <is>
          <t>内嵌整个 392 仓库全景图,可按 channel 或关键词筛。原理:返回 coverage.html 内嵌页 URL(注意:只给 URL,不给结构化数据)。</t>
        </is>
      </c>
      <c r="E22" s="2" t="inlineStr">
        <is>
          <t>「有哪些 SMS 仓库」「仓库全景长啥样」</t>
        </is>
      </c>
      <c r="F22" s="2" t="inlineStr">
        <is>
          <t>仓库估摸/全景浏览</t>
        </is>
      </c>
      <c r="G22" s="2" t="inlineStr">
        <is>
          <t>→ /coverage.html?embed=1</t>
        </is>
      </c>
      <c r="H22" s="2" t="inlineStr">
        <is>
          <t>否</t>
        </is>
      </c>
      <c r="I22" s="2" t="inlineStr">
        <is>
          <t>—</t>
        </is>
      </c>
      <c r="J22" s="2" t="inlineStr">
        <is>
          <t>—</t>
        </is>
      </c>
      <c r="K22" s="4" t="inlineStr">
        <is>
          <t>🟡 部分</t>
        </is>
      </c>
      <c r="L22" s="2" t="inlineStr">
        <is>
          <t>只作为「旧错误行为」(show_coverage(query=mdc) 找不到 mc-hk-hase)在背景里出现,没有正向测试。建议补 1 条,并注意它只返回 URL、模型无法二次推理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8" t="inlineStr">
        <is>
          <t>RUNBOOK-47 对 21 个工具的覆盖分析</t>
        </is>
      </c>
    </row>
    <row r="3">
      <c r="A3" s="9" t="inlineStr">
        <is>
          <t>工具总数</t>
        </is>
      </c>
      <c r="B3" s="10">
        <f>COUNTA(工具清单!B2:B22)</f>
        <v/>
      </c>
    </row>
    <row r="4">
      <c r="A4" s="9" t="inlineStr">
        <is>
          <t>✅ 有独立正向用例</t>
        </is>
      </c>
      <c r="B4" s="10">
        <f>COUNTIF(工具清单!K2:K22,"✅*")</f>
        <v/>
      </c>
    </row>
    <row r="5">
      <c r="A5" s="9" t="inlineStr">
        <is>
          <t>🟡 仅脚本/recipe 间接触及</t>
        </is>
      </c>
      <c r="B5" s="10">
        <f>COUNTIF(工具清单!K2:K22,"🟡*")</f>
        <v/>
      </c>
    </row>
    <row r="6">
      <c r="A6" s="9" t="inlineStr">
        <is>
          <t>❌ 完全没测</t>
        </is>
      </c>
      <c r="B6" s="10">
        <f>COUNTIF(工具清单!K2:K22,"❌*")</f>
        <v/>
      </c>
    </row>
    <row r="7">
      <c r="A7" s="9" t="inlineStr">
        <is>
          <t>其中用 CodeGraph 的工具数</t>
        </is>
      </c>
      <c r="B7" s="10">
        <f>COUNTIF(工具清单!H2:H22,"是")</f>
        <v/>
      </c>
    </row>
    <row r="8">
      <c r="A8" s="9" t="inlineStr">
        <is>
          <t>CodeGraph 工具被覆盖数</t>
        </is>
      </c>
      <c r="B8" s="10">
        <f>COUNTIFS(工具清单!H2:H22,"是",工具清单!K2:K22,"✅*")</f>
        <v/>
      </c>
    </row>
    <row r="10">
      <c r="A10" s="11" t="inlineStr">
        <is>
          <t>结论</t>
        </is>
      </c>
    </row>
    <row r="11" ht="46" customHeight="1">
      <c r="A11" s="12" t="inlineStr">
        <is>
          <t>1. RUNBOOK-47 是围绕「MDC / list_repos」这一条工作线设计的,只对 3 个工具(list_repos、source_system_impact、show_arch)有独立正向用例;另有 6 个(impact/consumers/producers/repo_routes/search_code/show_coverage)只在 Part C 脚本或 recipe 里被间接带到;剩下 12 个完全没测。</t>
        </is>
      </c>
    </row>
    <row r="12" ht="46" customHeight="1">
      <c r="A12" s="12" t="inlineStr">
        <is>
          <t>2. ‼️ 最严重的缺口:两个用 CodeGraph 的工具(unified_impact、call_graph)——恰恰是全部工具里最复杂、最脆、风险最高的——RUNBOOK-47 一条都没覆盖。CodeGraph 的失败模式是「静默降级成 grep」,答案看着正常其实只是文本匹配,不专门测根本发现不了。</t>
        </is>
      </c>
    </row>
    <row r="13" ht="46" customHeight="1">
      <c r="A13" s="12" t="inlineStr">
        <is>
          <t>3. 另一整块盲区:use case 三件套(usecase_impact、search_usecases、usecase_quality_findings)以及 usecase_route、use_cases_for_topic、trace——都没测,而这些正是「影响通知/变更通知」旗舰需求的核心链路。</t>
        </is>
      </c>
    </row>
    <row r="14" ht="46" customHeight="1">
      <c r="A14" s="12" t="inlineStr">
        <is>
          <t>4. 结论:仅靠 RUNBOOK-47 测不出这 12 个工具的问题。要真正「测出问题来」,需要一份覆盖全部 21 个工具的冒烟回归(建议 RUNBOOK-48),每个工具至少 1 条正向用例 + CodeGraph 两个工具各补「命中/缺失仓库/CLI 缺失降级」三种路径。</t>
        </is>
      </c>
    </row>
    <row r="15" ht="46" customHeight="1">
      <c r="A15" s="12" t="inlineStr">
        <is>
          <t>5. 优先级建议:先补 CodeGraph 两个工具(风险最高),再补 use case 三件套(旗舰链路),最后补 hubs/read_file/trace 等 smoke。</t>
        </is>
      </c>
    </row>
  </sheetData>
  <mergeCells count="6">
    <mergeCell ref="A12:H12"/>
    <mergeCell ref="A1:D1"/>
    <mergeCell ref="A15:H15"/>
    <mergeCell ref="A13:H13"/>
    <mergeCell ref="A11:H11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2026-07-22T03:58:19Z</dcterms:created>
  <dcterms:modified xmlns:dcterms="http://purl.org/dc/terms/" xmlns:xsi="http://www.w3.org/2001/XMLSchema-instance" xsi:type="dcterms:W3CDTF">2026-07-22T03:58:19Z</dcterms:modified>
</cp:coreProperties>
</file>