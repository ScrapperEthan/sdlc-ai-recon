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工具冒烟" sheetId="1" state="visible" r:id="rId1"/>
    <sheet xmlns:r="http://schemas.openxmlformats.org/officeDocument/2006/relationships" name="汇总" sheetId="2" state="visible" r:id="rId2"/>
  </sheets>
  <definedNames>
    <definedName name="_xlnm._FilterDatabase" localSheetId="0" hidden="1">'全工具冒烟'!$A$1:$J$1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14"/>
    </font>
    <font>
      <name val="Arial"/>
      <b val="1"/>
      <sz val="11"/>
    </font>
    <font>
      <name val="Arial"/>
      <sz val="11"/>
    </font>
    <font>
      <name val="Arial"/>
      <b val="1"/>
      <sz val="12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FF99"/>
        <bgColor rgb="00FFFF99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10" customWidth="1" min="3" max="3"/>
    <col width="34" customWidth="1" min="4" max="4"/>
    <col width="34" customWidth="1" min="5" max="5"/>
    <col width="42" customWidth="1" min="6" max="6"/>
    <col width="40" customWidth="1" min="7" max="7"/>
    <col width="24" customWidth="1" min="8" max="8"/>
    <col width="28" customWidth="1" min="9" max="9"/>
    <col width="14" customWidth="1" min="10" max="10"/>
  </cols>
  <sheetData>
    <row r="1">
      <c r="A1" s="1" t="inlineStr">
        <is>
          <t>#</t>
        </is>
      </c>
      <c r="B1" s="1" t="inlineStr">
        <is>
          <t>工具</t>
        </is>
      </c>
      <c r="C1" s="1" t="inlineStr">
        <is>
          <t>类型</t>
        </is>
      </c>
      <c r="D1" s="1" t="inlineStr">
        <is>
          <t>问题</t>
        </is>
      </c>
      <c r="E1" s="1" t="inlineStr">
        <is>
          <t>期望路由</t>
        </is>
      </c>
      <c r="F1" s="1" t="inlineStr">
        <is>
          <t>期望答案/结果</t>
        </is>
      </c>
      <c r="G1" s="1" t="inlineStr">
        <is>
          <t>考点·风险点</t>
        </is>
      </c>
      <c r="H1" s="1" t="inlineStr">
        <is>
          <t>实测路由</t>
        </is>
      </c>
      <c r="I1" s="1" t="inlineStr">
        <is>
          <t>实测答案</t>
        </is>
      </c>
      <c r="J1" s="1" t="inlineStr">
        <is>
          <t>判定(PASS/FAIL)</t>
        </is>
      </c>
    </row>
    <row r="2" ht="62" customHeight="1">
      <c r="A2" s="2" t="inlineStr">
        <is>
          <t>T1</t>
        </is>
      </c>
      <c r="B2" s="3" t="inlineStr">
        <is>
          <t>impact</t>
        </is>
      </c>
      <c r="C2" s="4" t="inlineStr">
        <is>
          <t>🟢 冒烟</t>
        </is>
      </c>
      <c r="D2" s="2" t="inlineStr">
        <is>
          <t>改 mc-hk-hase-api-starter 会连累谁？</t>
        </is>
      </c>
      <c r="E2" s="2" t="inlineStr">
        <is>
          <t>impact(repo="mc-hk-hase-api-starter", transitive=true)</t>
        </is>
      </c>
      <c r="F2" s="2" t="inlineStr">
        <is>
          <t>返回 depended_on_by(受影响下游)+ depends_on(自身依赖),计数来自依赖图;api-starter 是高被依赖 hub,下游应很多</t>
        </is>
      </c>
      <c r="G2" s="2" t="inlineStr">
        <is>
          <t>依赖图查询 + 下游/上游方向不能反</t>
        </is>
      </c>
      <c r="H2" s="5" t="inlineStr"/>
      <c r="I2" s="5" t="inlineStr"/>
      <c r="J2" s="5" t="inlineStr">
        <is>
          <t>待测</t>
        </is>
      </c>
    </row>
    <row r="3" ht="62" customHeight="1">
      <c r="A3" s="2" t="inlineStr">
        <is>
          <t>T2</t>
        </is>
      </c>
      <c r="B3" s="3" t="inlineStr">
        <is>
          <t>hubs</t>
        </is>
      </c>
      <c r="C3" s="4" t="inlineStr">
        <is>
          <t>🟢 冒烟</t>
        </is>
      </c>
      <c r="D3" s="2" t="inlineStr">
        <is>
          <t>哪些仓库被依赖最多、最不能随便改？</t>
        </is>
      </c>
      <c r="E3" s="2" t="inlineStr">
        <is>
          <t>hubs(top=20)</t>
        </is>
      </c>
      <c r="F3" s="2" t="inlineStr">
        <is>
          <t>按被依赖数排序的 top20,api-parent / api-starter / api-common 应在前列</t>
        </is>
      </c>
      <c r="G3" s="2" t="inlineStr">
        <is>
          <t>冒烟:hubs 是否正常返回排序</t>
        </is>
      </c>
      <c r="H3" s="5" t="inlineStr"/>
      <c r="I3" s="5" t="inlineStr"/>
      <c r="J3" s="5" t="inlineStr">
        <is>
          <t>待测</t>
        </is>
      </c>
    </row>
    <row r="4" ht="62" customHeight="1">
      <c r="A4" s="2" t="inlineStr">
        <is>
          <t>T3</t>
        </is>
      </c>
      <c r="B4" s="3" t="inlineStr">
        <is>
          <t>consumers</t>
        </is>
      </c>
      <c r="C4" s="4" t="inlineStr">
        <is>
          <t>🟢 冒烟</t>
        </is>
      </c>
      <c r="D4" s="2" t="inlineStr">
        <is>
          <t>谁在消费 marketing-cm_sms 这个 topic？</t>
        </is>
      </c>
      <c r="E4" s="2" t="inlineStr">
        <is>
          <t>consumers(destination="cm_sms" 或完整 topic)</t>
        </is>
      </c>
      <c r="F4" s="2" t="inlineStr">
        <is>
          <t>message_edges 里消费该 destination 的仓库列表</t>
        </is>
      </c>
      <c r="G4" s="2" t="inlineStr">
        <is>
          <t>消息图下游查询;注意子串匹配范围</t>
        </is>
      </c>
      <c r="H4" s="5" t="inlineStr"/>
      <c r="I4" s="5" t="inlineStr"/>
      <c r="J4" s="5" t="inlineStr">
        <is>
          <t>待测</t>
        </is>
      </c>
    </row>
    <row r="5" ht="62" customHeight="1">
      <c r="A5" s="2" t="inlineStr">
        <is>
          <t>T4</t>
        </is>
      </c>
      <c r="B5" s="3" t="inlineStr">
        <is>
          <t>producers</t>
        </is>
      </c>
      <c r="C5" s="4" t="inlineStr">
        <is>
          <t>🟢 冒烟</t>
        </is>
      </c>
      <c r="D5" s="2" t="inlineStr">
        <is>
          <t>谁往 cm_sms topic 发消息？</t>
        </is>
      </c>
      <c r="E5" s="2" t="inlineStr">
        <is>
          <t>producers(destination="cm_sms")</t>
        </is>
      </c>
      <c r="F5" s="2" t="inlineStr">
        <is>
          <t>生产/发送到该 destination 的仓库列表</t>
        </is>
      </c>
      <c r="G5" s="2" t="inlineStr">
        <is>
          <t>消息图上游查询</t>
        </is>
      </c>
      <c r="H5" s="5" t="inlineStr"/>
      <c r="I5" s="5" t="inlineStr"/>
      <c r="J5" s="5" t="inlineStr">
        <is>
          <t>待测</t>
        </is>
      </c>
    </row>
    <row r="6" ht="62" customHeight="1">
      <c r="A6" s="2" t="inlineStr">
        <is>
          <t>T5</t>
        </is>
      </c>
      <c r="B6" s="3" t="inlineStr">
        <is>
          <t>repo_routes</t>
        </is>
      </c>
      <c r="C6" s="4" t="inlineStr">
        <is>
          <t>🟢 冒烟</t>
        </is>
      </c>
      <c r="D6" s="2" t="inlineStr">
        <is>
          <t>amet-mdc-hsbc-cm-outbound-api 收发哪些消息/topic？</t>
        </is>
      </c>
      <c r="E6" s="2" t="inlineStr">
        <is>
          <t>repo_routes(repo="amet-mdc-hsbc-cm-outbound-api")</t>
        </is>
      </c>
      <c r="F6" s="2" t="inlineStr">
        <is>
          <t>该仓库参与的全部消息边(既发又收)</t>
        </is>
      </c>
      <c r="G6" s="2" t="inlineStr">
        <is>
          <t>单仓库消息面全貌</t>
        </is>
      </c>
      <c r="H6" s="5" t="inlineStr"/>
      <c r="I6" s="5" t="inlineStr"/>
      <c r="J6" s="5" t="inlineStr">
        <is>
          <t>待测</t>
        </is>
      </c>
    </row>
    <row r="7" ht="62" customHeight="1">
      <c r="A7" s="2" t="inlineStr">
        <is>
          <t>T6</t>
        </is>
      </c>
      <c r="B7" s="3" t="inlineStr">
        <is>
          <t>usecase_route</t>
        </is>
      </c>
      <c r="C7" s="4" t="inlineStr">
        <is>
          <t>🟢 冒烟</t>
        </is>
      </c>
      <c r="D7" s="2" t="inlineStr">
        <is>
          <t>use case &lt;任一真实ID&gt; 走哪个 topic？</t>
        </is>
      </c>
      <c r="E7" s="2" t="inlineStr">
        <is>
          <t>usecase_route(use_case_id="&lt;真实ID&gt;")</t>
        </is>
      </c>
      <c r="F7" s="2" t="inlineStr">
        <is>
          <t>该 UC 的 topic(s),并声明这是 dev/SCT 快照、非生产</t>
        </is>
      </c>
      <c r="G7" s="2" t="inlineStr">
        <is>
          <t>验证 dev/SCT 免责声明;别与 use_cases_for_topic 混淆</t>
        </is>
      </c>
      <c r="H7" s="5" t="inlineStr"/>
      <c r="I7" s="5" t="inlineStr"/>
      <c r="J7" s="5" t="inlineStr">
        <is>
          <t>待测</t>
        </is>
      </c>
    </row>
    <row r="8" ht="62" customHeight="1">
      <c r="A8" s="2" t="inlineStr">
        <is>
          <t>T7</t>
        </is>
      </c>
      <c r="B8" s="3" t="inlineStr">
        <is>
          <t>use_cases_for_topic</t>
        </is>
      </c>
      <c r="C8" s="6" t="inlineStr">
        <is>
          <t>⚠️ 探测</t>
        </is>
      </c>
      <c r="D8" s="2" t="inlineStr">
        <is>
          <t>如果 &lt;某完整topic&gt; 变了，还有哪些 use case 受影响？</t>
        </is>
      </c>
      <c r="E8" s="2" t="inlineStr">
        <is>
          <t>use_cases_for_topic(topic="&lt;完整topic&gt;", exact=true)</t>
        </is>
      </c>
      <c r="F8" s="2" t="inlineStr">
        <is>
          <t>全部路由到它的 UC + total;truncated 时说明还有多少;绝不把「快照里没有」说成「不存在」</t>
        </is>
      </c>
      <c r="G8" s="2" t="inlineStr">
        <is>
          <t>不谎报完整性 + 不误加 use_case_id 过滤(会隐藏兄弟)</t>
        </is>
      </c>
      <c r="H8" s="5" t="inlineStr"/>
      <c r="I8" s="5" t="inlineStr"/>
      <c r="J8" s="5" t="inlineStr">
        <is>
          <t>待测</t>
        </is>
      </c>
    </row>
    <row r="9" ht="62" customHeight="1">
      <c r="A9" s="2" t="inlineStr">
        <is>
          <t>T8</t>
        </is>
      </c>
      <c r="B9" s="3" t="inlineStr">
        <is>
          <t>list_repos</t>
        </is>
      </c>
      <c r="C9" s="7" t="inlineStr">
        <is>
          <t>↩ 见R47</t>
        </is>
      </c>
      <c r="D9" s="2" t="inlineStr">
        <is>
          <t>（已在 RUNBOOK-47 重度覆盖）</t>
        </is>
      </c>
      <c r="E9" s="2" t="inlineStr">
        <is>
          <t>见 RUNBOOK-47 用例 1-9 / 14-20 / U1 / U6 + Part D</t>
        </is>
      </c>
      <c r="F9" s="2" t="inlineStr">
        <is>
          <t>无需在此重复;交叉引用</t>
        </is>
      </c>
      <c r="G9" s="2" t="inlineStr">
        <is>
          <t>本表只补 R47 未覆盖的工具</t>
        </is>
      </c>
      <c r="H9" s="2" t="inlineStr"/>
      <c r="I9" s="2" t="inlineStr"/>
      <c r="J9" s="2" t="inlineStr">
        <is>
          <t>N/A</t>
        </is>
      </c>
    </row>
    <row r="10" ht="62" customHeight="1">
      <c r="A10" s="2" t="inlineStr">
        <is>
          <t>T9</t>
        </is>
      </c>
      <c r="B10" s="3" t="inlineStr">
        <is>
          <t>search_code</t>
        </is>
      </c>
      <c r="C10" s="4" t="inlineStr">
        <is>
          <t>🟢 冒烟</t>
        </is>
      </c>
      <c r="D10" s="2" t="inlineStr">
        <is>
          <t>在 amet-mdc-hsbc-ingress-api 里搜 @PostMapping</t>
        </is>
      </c>
      <c r="E10" s="2" t="inlineStr">
        <is>
          <t>search_code(pattern="@PostMapping", repos=["amet-mdc-hsbc-ingress-api"])</t>
        </is>
      </c>
      <c r="F10" s="2" t="inlineStr">
        <is>
          <t>收窄到该仓库的 path:line:text 命中,不扫全 mirror</t>
        </is>
      </c>
      <c r="G10" s="2" t="inlineStr">
        <is>
          <t>验证 repos 收窄参数真的生效(否则会扫全部 ~390 仓库)</t>
        </is>
      </c>
      <c r="H10" s="5" t="inlineStr"/>
      <c r="I10" s="5" t="inlineStr"/>
      <c r="J10" s="5" t="inlineStr">
        <is>
          <t>待测</t>
        </is>
      </c>
    </row>
    <row r="11" ht="62" customHeight="1">
      <c r="A11" s="2" t="inlineStr">
        <is>
          <t>T10</t>
        </is>
      </c>
      <c r="B11" s="3" t="inlineStr">
        <is>
          <t>read_file</t>
        </is>
      </c>
      <c r="C11" s="4" t="inlineStr">
        <is>
          <t>🟢 冒烟</t>
        </is>
      </c>
      <c r="D11" s="2" t="inlineStr">
        <is>
          <t>读 amet-mdc-hsbc-ingress-api 里 IngressResource.java 的 40-60 行</t>
        </is>
      </c>
      <c r="E11" s="2" t="inlineStr">
        <is>
          <t>read_file(path=".../IngressResource.java", start=40, end=60)</t>
        </is>
      </c>
      <c r="F11" s="2" t="inlineStr">
        <is>
          <t>带行号的源码片段</t>
        </is>
      </c>
      <c r="G11" s="2" t="inlineStr">
        <is>
          <t>冒烟:读文件 + mirror 越界防护</t>
        </is>
      </c>
      <c r="H11" s="5" t="inlineStr"/>
      <c r="I11" s="5" t="inlineStr"/>
      <c r="J11" s="5" t="inlineStr">
        <is>
          <t>待测</t>
        </is>
      </c>
    </row>
    <row r="12" ht="62" customHeight="1">
      <c r="A12" s="2" t="inlineStr">
        <is>
          <t>T11</t>
        </is>
      </c>
      <c r="B12" s="3" t="inlineStr">
        <is>
          <t>trace</t>
        </is>
      </c>
      <c r="C12" s="4" t="inlineStr">
        <is>
          <t>🟢 冒烟</t>
        </is>
      </c>
      <c r="D12" s="2" t="inlineStr">
        <is>
          <t>&lt;任一真实use_case_id&gt; 的完整消息流是怎样的？</t>
        </is>
      </c>
      <c r="E12" s="2" t="inlineStr">
        <is>
          <t>trace(use_case_id="&lt;真实ID&gt;")</t>
        </is>
      </c>
      <c r="F12" s="2" t="inlineStr">
        <is>
          <t>沿异步消息线拼出的端到端流</t>
        </is>
      </c>
      <c r="G12" s="2" t="inlineStr">
        <is>
          <t>冒烟:trace 拼接是否正常</t>
        </is>
      </c>
      <c r="H12" s="5" t="inlineStr"/>
      <c r="I12" s="5" t="inlineStr"/>
      <c r="J12" s="5" t="inlineStr">
        <is>
          <t>待测</t>
        </is>
      </c>
    </row>
    <row r="13" ht="62" customHeight="1">
      <c r="A13" s="2" t="inlineStr">
        <is>
          <t>T12a</t>
        </is>
      </c>
      <c r="B13" s="3" t="inlineStr">
        <is>
          <t>unified_impact</t>
        </is>
      </c>
      <c r="C13" s="4" t="inlineStr">
        <is>
          <t>🟢 冒烟</t>
        </is>
      </c>
      <c r="D13" s="2" t="inlineStr">
        <is>
          <t>谁调用了 IngressService？（已索引的符号）</t>
        </is>
      </c>
      <c r="E13" s="2" t="inlineStr">
        <is>
          <t>unified_impact(seed="IngressService")</t>
        </is>
      </c>
      <c r="F13" s="2" t="inlineStr">
        <is>
          <t>callers.available=**true**,真实跨仓库调用方 + 依赖 + 消息 peer,每个调用方 cite 到 file:line</t>
        </is>
      </c>
      <c r="G13" s="2" t="inlineStr">
        <is>
          <t>⭐CodeGraph 命中路径:真实调用图(不是文本匹配)</t>
        </is>
      </c>
      <c r="H13" s="5" t="inlineStr"/>
      <c r="I13" s="5" t="inlineStr"/>
      <c r="J13" s="5" t="inlineStr">
        <is>
          <t>待测</t>
        </is>
      </c>
    </row>
    <row r="14" ht="62" customHeight="1">
      <c r="A14" s="2" t="inlineStr">
        <is>
          <t>T12b</t>
        </is>
      </c>
      <c r="B14" s="3" t="inlineStr">
        <is>
          <t>unified_impact</t>
        </is>
      </c>
      <c r="C14" s="8" t="inlineStr">
        <is>
          <t>🔻 降级</t>
        </is>
      </c>
      <c r="D14" s="2" t="inlineStr">
        <is>
          <t>谁调用了 &lt;一个不在 codegraph_build.json 里的仓库的类&gt;？（内网先找靶子）</t>
        </is>
      </c>
      <c r="E14" s="2" t="inlineStr">
        <is>
          <t>unified_impact(seed="&lt;未索引仓库的类&gt;")</t>
        </is>
      </c>
      <c r="F14" s="2" t="inlineStr">
        <is>
          <t>callers.available=**false**,退回 lexical hits,且**必须明说这是文本匹配降级、不是真实调用图**</t>
        </is>
      </c>
      <c r="G14" s="2" t="inlineStr">
        <is>
          <t>⭐CodeGraph 缺失仓库(66/456)路径:验证静默降级会不会被如实标注</t>
        </is>
      </c>
      <c r="H14" s="5" t="inlineStr"/>
      <c r="I14" s="5" t="inlineStr"/>
      <c r="J14" s="5" t="inlineStr">
        <is>
          <t>待测</t>
        </is>
      </c>
    </row>
    <row r="15" ht="62" customHeight="1">
      <c r="A15" s="2" t="inlineStr">
        <is>
          <t>T12c</t>
        </is>
      </c>
      <c r="B15" s="3" t="inlineStr">
        <is>
          <t>unified_impact</t>
        </is>
      </c>
      <c r="C15" s="8" t="inlineStr">
        <is>
          <t>🔻 降级</t>
        </is>
      </c>
      <c r="D15" s="2" t="inlineStr">
        <is>
          <t>codegraph CLI 不在 PATH 时问任意调用链（内网临时移除/或确认根本没装）</t>
        </is>
      </c>
      <c r="E15" s="2" t="inlineStr">
        <is>
          <t>unified_impact(seed="&lt;任意&gt;")</t>
        </is>
      </c>
      <c r="F15" s="2" t="inlineStr">
        <is>
          <t>available=false + note "codegraph CLI not on PATH; lexical hits included"</t>
        </is>
      </c>
      <c r="G15" s="2" t="inlineStr">
        <is>
          <t>⭐CLI 缺失降级:验证不假装有调用图。先跑 Part 0 确认 codegraph 是否真在 PATH</t>
        </is>
      </c>
      <c r="H15" s="5" t="inlineStr"/>
      <c r="I15" s="5" t="inlineStr"/>
      <c r="J15" s="5" t="inlineStr">
        <is>
          <t>待测</t>
        </is>
      </c>
    </row>
    <row r="16" ht="62" customHeight="1">
      <c r="A16" s="2" t="inlineStr">
        <is>
          <t>T13</t>
        </is>
      </c>
      <c r="B16" s="3" t="inlineStr">
        <is>
          <t>call_graph</t>
        </is>
      </c>
      <c r="C16" s="4" t="inlineStr">
        <is>
          <t>🟢 冒烟</t>
        </is>
      </c>
      <c r="D16" s="2" t="inlineStr">
        <is>
          <t>给我 codegraph explore IngressService 的原始结果</t>
        </is>
      </c>
      <c r="E16" s="2" t="inlineStr">
        <is>
          <t>call_graph(query="IngressService")</t>
        </is>
      </c>
      <c r="F16" s="2" t="inlineStr">
        <is>
          <t>路由到定义它的 bundle 的原始 explore 输出</t>
        </is>
      </c>
      <c r="G16" s="2" t="inlineStr">
        <is>
          <t>同 T12a/b/c 的三种风险;裸 dump 降级更不易被察觉</t>
        </is>
      </c>
      <c r="H16" s="5" t="inlineStr"/>
      <c r="I16" s="5" t="inlineStr"/>
      <c r="J16" s="5" t="inlineStr">
        <is>
          <t>待测</t>
        </is>
      </c>
    </row>
    <row r="17" ht="62" customHeight="1">
      <c r="A17" s="2" t="inlineStr">
        <is>
          <t>T14</t>
        </is>
      </c>
      <c r="B17" s="3" t="inlineStr">
        <is>
          <t>show_arch</t>
        </is>
      </c>
      <c r="C17" s="4" t="inlineStr">
        <is>
          <t>🟢 冒烟</t>
        </is>
      </c>
      <c r="D17" s="2" t="inlineStr">
        <is>
          <t>SMS 渠道挂了会影响什么？</t>
        </is>
      </c>
      <c r="E17" s="2" t="inlineStr">
        <is>
          <t>show_arch(kind="channel", value="sms")</t>
        </is>
      </c>
      <c r="F17" s="2" t="inlineStr">
        <is>
          <t>内嵌架构图,SMS 链高亮 + 文字说明受影响路径</t>
        </is>
      </c>
      <c r="G17" s="2" t="inlineStr">
        <is>
          <t>渠道 outage 变体(PEGA 接入点见 RUNBOOK-47 #13)</t>
        </is>
      </c>
      <c r="H17" s="5" t="inlineStr"/>
      <c r="I17" s="5" t="inlineStr"/>
      <c r="J17" s="5" t="inlineStr">
        <is>
          <t>待测</t>
        </is>
      </c>
    </row>
    <row r="18" ht="62" customHeight="1">
      <c r="A18" s="2" t="inlineStr">
        <is>
          <t>T15</t>
        </is>
      </c>
      <c r="B18" s="3" t="inlineStr">
        <is>
          <t>show_impact</t>
        </is>
      </c>
      <c r="C18" s="4" t="inlineStr">
        <is>
          <t>🟢 冒烟</t>
        </is>
      </c>
      <c r="D18" s="2" t="inlineStr">
        <is>
          <t>改 amet-mdc-hsbc-cm-outbound-api 会连累谁？（要图）</t>
        </is>
      </c>
      <c r="E18" s="2" t="inlineStr">
        <is>
          <t>show_impact(repo="amet-mdc-hsbc-cm-outbound-api")</t>
        </is>
      </c>
      <c r="F18" s="2" t="inlineStr">
        <is>
          <t>内嵌爆炸半径图 + 下游(受影响)/上游(依赖)计数</t>
        </is>
      </c>
      <c r="G18" s="2" t="inlineStr">
        <is>
          <t>验证内嵌视图 + 计数方向不反(曾经反过)</t>
        </is>
      </c>
      <c r="H18" s="5" t="inlineStr"/>
      <c r="I18" s="5" t="inlineStr"/>
      <c r="J18" s="5" t="inlineStr">
        <is>
          <t>待测</t>
        </is>
      </c>
    </row>
    <row r="19" ht="62" customHeight="1">
      <c r="A19" s="2" t="inlineStr">
        <is>
          <t>T16</t>
        </is>
      </c>
      <c r="B19" s="3" t="inlineStr">
        <is>
          <t>source_system_impact</t>
        </is>
      </c>
      <c r="C19" s="7" t="inlineStr">
        <is>
          <t>↩ 见R47</t>
        </is>
      </c>
      <c r="D19" s="2" t="inlineStr">
        <is>
          <t>（已在 RUNBOOK-47 覆盖）</t>
        </is>
      </c>
      <c r="E19" s="2" t="inlineStr">
        <is>
          <t>见 RUNBOOK-47 用例 10 / 11 / 12</t>
        </is>
      </c>
      <c r="F19" s="2" t="inlineStr">
        <is>
          <t>无需在此重复;交叉引用</t>
        </is>
      </c>
      <c r="G19" s="2" t="inlineStr">
        <is>
          <t>含撞名消歧(MDC/PEGA 该走这里而非 list_repos)</t>
        </is>
      </c>
      <c r="H19" s="2" t="inlineStr"/>
      <c r="I19" s="2" t="inlineStr"/>
      <c r="J19" s="2" t="inlineStr">
        <is>
          <t>N/A</t>
        </is>
      </c>
    </row>
    <row r="20" ht="62" customHeight="1">
      <c r="A20" s="2" t="inlineStr">
        <is>
          <t>T17</t>
        </is>
      </c>
      <c r="B20" s="3" t="inlineStr">
        <is>
          <t>list_source_systems</t>
        </is>
      </c>
      <c r="C20" s="4" t="inlineStr">
        <is>
          <t>🟢 冒烟</t>
        </is>
      </c>
      <c r="D20" s="2" t="inlineStr">
        <is>
          <t>有哪些上游系统？</t>
        </is>
      </c>
      <c r="E20" s="2" t="inlineStr">
        <is>
          <t>list_source_systems()</t>
        </is>
      </c>
      <c r="F20" s="2" t="inlineStr">
        <is>
          <t>规范化后的上游系统列表(MDC/PEGA/eAlert/PowerCard…)+ use case 计数</t>
        </is>
      </c>
      <c r="G20" s="2" t="inlineStr">
        <is>
          <t>冒烟:选择器是否正常;拼写/大小写变体是否折叠成一条</t>
        </is>
      </c>
      <c r="H20" s="5" t="inlineStr"/>
      <c r="I20" s="5" t="inlineStr"/>
      <c r="J20" s="5" t="inlineStr">
        <is>
          <t>待测</t>
        </is>
      </c>
    </row>
    <row r="21" ht="62" customHeight="1">
      <c r="A21" s="2" t="inlineStr">
        <is>
          <t>T18</t>
        </is>
      </c>
      <c r="B21" s="3" t="inlineStr">
        <is>
          <t>usecase_impact</t>
        </is>
      </c>
      <c r="C21" s="6" t="inlineStr">
        <is>
          <t>⚠️ 探测</t>
        </is>
      </c>
      <c r="D21" s="2" t="inlineStr">
        <is>
          <t>&lt;任一真实use_case_id&gt; 是什么？渠道/上游/owner？</t>
        </is>
      </c>
      <c r="E21" s="2" t="inlineStr">
        <is>
          <t>usecase_impact(use_case_id="&lt;真实ID&gt;")</t>
        </is>
      </c>
      <c r="F21" s="2" t="inlineStr">
        <is>
          <t>全貌:身份/渠道(channels_declared)/上游/owner/rule_text AST;AST 的 semantics=unconfirmed 时**不能当成已断言的 fallback 顺序**</t>
        </is>
      </c>
      <c r="G21" s="2" t="inlineStr">
        <is>
          <t>验证不把结构树误读为已确认的渠道优先级</t>
        </is>
      </c>
      <c r="H21" s="5" t="inlineStr"/>
      <c r="I21" s="5" t="inlineStr"/>
      <c r="J21" s="5" t="inlineStr">
        <is>
          <t>待测</t>
        </is>
      </c>
    </row>
    <row r="22" ht="62" customHeight="1">
      <c r="A22" s="2" t="inlineStr">
        <is>
          <t>T19</t>
        </is>
      </c>
      <c r="B22" s="3" t="inlineStr">
        <is>
          <t>search_usecases</t>
        </is>
      </c>
      <c r="C22" s="4" t="inlineStr">
        <is>
          <t>🟢 冒烟</t>
        </is>
      </c>
      <c r="D22" s="2" t="inlineStr">
        <is>
          <t>HK 的 SMS use case 有哪些？</t>
        </is>
      </c>
      <c r="E22" s="2" t="inlineStr">
        <is>
          <t>search_usecases(channel="sms", country="HK")</t>
        </is>
      </c>
      <c r="F22" s="2" t="inlineStr">
        <is>
          <t>分页匹配列表 + 说明「显示前 N / 共 M」</t>
        </is>
      </c>
      <c r="G22" s="2" t="inlineStr">
        <is>
          <t>冒烟:多条件过滤 + 分页</t>
        </is>
      </c>
      <c r="H22" s="5" t="inlineStr"/>
      <c r="I22" s="5" t="inlineStr"/>
      <c r="J22" s="5" t="inlineStr">
        <is>
          <t>待测</t>
        </is>
      </c>
    </row>
    <row r="23" ht="62" customHeight="1">
      <c r="A23" s="2" t="inlineStr">
        <is>
          <t>T20</t>
        </is>
      </c>
      <c r="B23" s="3" t="inlineStr">
        <is>
          <t>usecase_quality_findings</t>
        </is>
      </c>
      <c r="C23" s="6" t="inlineStr">
        <is>
          <t>⚠️ 探测</t>
        </is>
      </c>
      <c r="D23" s="2" t="inlineStr">
        <is>
          <t>有哪些 use case 配置有问题？</t>
        </is>
      </c>
      <c r="E23" s="2" t="inlineStr">
        <is>
          <t>usecase_quality_findings()</t>
        </is>
      </c>
      <c r="F23" s="2" t="inlineStr">
        <is>
          <t>按严重度排的 findings + counts_by_severity;**必须说明是「标记的分歧」不是「确认的生产故障」**</t>
        </is>
      </c>
      <c r="G23" s="2" t="inlineStr">
        <is>
          <t>验证不过度断言成生产故障</t>
        </is>
      </c>
      <c r="H23" s="5" t="inlineStr"/>
      <c r="I23" s="5" t="inlineStr"/>
      <c r="J23" s="5" t="inlineStr">
        <is>
          <t>待测</t>
        </is>
      </c>
    </row>
    <row r="24" ht="62" customHeight="1">
      <c r="A24" s="2" t="inlineStr">
        <is>
          <t>T21</t>
        </is>
      </c>
      <c r="B24" s="3" t="inlineStr">
        <is>
          <t>show_coverage</t>
        </is>
      </c>
      <c r="C24" s="4" t="inlineStr">
        <is>
          <t>🟢 冒烟</t>
        </is>
      </c>
      <c r="D24" s="2" t="inlineStr">
        <is>
          <t>有哪些 SMS 仓库？给我看全景</t>
        </is>
      </c>
      <c r="E24" s="2" t="inlineStr">
        <is>
          <t>show_coverage(kind="channel", value="sms")</t>
        </is>
      </c>
      <c r="F24" s="2" t="inlineStr">
        <is>
          <t>内嵌 392 仓库全景(SMS 筛选)</t>
        </is>
      </c>
      <c r="G24" s="2" t="inlineStr">
        <is>
          <t>注意:只返回 URL,模型无法二次推理据此枚举</t>
        </is>
      </c>
      <c r="H24" s="5" t="inlineStr"/>
      <c r="I24" s="5" t="inlineStr"/>
      <c r="J24" s="5" t="inlineStr">
        <is>
          <t>待测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9" t="inlineStr">
        <is>
          <t>RUNBOOK-48 全工具冒烟 — 汇总</t>
        </is>
      </c>
    </row>
    <row r="3">
      <c r="A3" s="10" t="inlineStr">
        <is>
          <t>用例总数(不含↩交叉引用)</t>
        </is>
      </c>
      <c r="B3" s="11">
        <f>COUNTA(全工具冒烟!A2:A24)-COUNTIF(全工具冒烟!C2:C24,"↩*")</f>
        <v/>
      </c>
    </row>
    <row r="4">
      <c r="A4" s="10" t="inlineStr">
        <is>
          <t>🟢 冒烟</t>
        </is>
      </c>
      <c r="B4" s="11">
        <f>COUNTIF(全工具冒烟!C2:C24,"🟢*")</f>
        <v/>
      </c>
    </row>
    <row r="5">
      <c r="A5" s="10" t="inlineStr">
        <is>
          <t>⚠️ 探测</t>
        </is>
      </c>
      <c r="B5" s="11">
        <f>COUNTIF(全工具冒烟!C2:C24,"⚠️*")</f>
        <v/>
      </c>
    </row>
    <row r="6">
      <c r="A6" s="10" t="inlineStr">
        <is>
          <t>🔻 降级(需内网特殊 setup)</t>
        </is>
      </c>
      <c r="B6" s="11">
        <f>COUNTIF(全工具冒烟!C2:C24,"🔻*")</f>
        <v/>
      </c>
    </row>
    <row r="7">
      <c r="A7" s="10" t="inlineStr">
        <is>
          <t>↩ 交叉引用 RUNBOOK-47</t>
        </is>
      </c>
      <c r="B7" s="11">
        <f>COUNTIF(全工具冒烟!C2:C24,"↩*")</f>
        <v/>
      </c>
    </row>
    <row r="8">
      <c r="A8" s="10" t="inlineStr">
        <is>
          <t>已判定 PASS</t>
        </is>
      </c>
      <c r="B8" s="11">
        <f>COUNTIF(全工具冒烟!J2:J24,"PASS")</f>
        <v/>
      </c>
    </row>
    <row r="9">
      <c r="A9" s="10" t="inlineStr">
        <is>
          <t>已判定 FAIL</t>
        </is>
      </c>
      <c r="B9" s="11">
        <f>COUNTIF(全工具冒烟!J2:J24,"FAIL")</f>
        <v/>
      </c>
    </row>
    <row r="12">
      <c r="A12" s="12" t="inlineStr">
        <is>
          <t>说明</t>
        </is>
      </c>
    </row>
    <row r="13" ht="44" customHeight="1">
      <c r="A13" s="13" t="inlineStr">
        <is>
          <t>1. 本表配套 RUNBOOK-48-all-tools-smoke-verify.md（repo 根目录，已 push）；内网按 runbook 逐条执行，黄色三列(实测路由/实测答案/判定)填回。</t>
        </is>
      </c>
    </row>
    <row r="14" ht="44" customHeight="1">
      <c r="A14" s="13" t="inlineStr">
        <is>
          <t>2. 类型:🟢冒烟=每个工具至少 1 条应通过的基本用例;⚠️探测=易过度断言/漏报的风险点;🔻降级=CodeGraph 的缺失/CLI-不在-PATH 路径,需内网特殊 setup(见 runbook Part 0/B)。</t>
        </is>
      </c>
    </row>
    <row r="15" ht="44" customHeight="1">
      <c r="A15" s="13" t="inlineStr">
        <is>
          <t>3. ‼️ 最关键的是 T12a/b/c 与 T13(CodeGraph):unified_impact/call_graph 的失败模式是「静默退回 grep」,答案看着正常其实只是文本匹配——RUNBOOK-47 完全没测这块。先跑 runbook Part 0 确认 codegraph 到底在不在 PATH、索引了多少仓库。</t>
        </is>
      </c>
    </row>
    <row r="16" ht="44" customHeight="1">
      <c r="A16" s="13" t="inlineStr">
        <is>
          <t>4. T8 / T16 是 list_repos / source_system_impact,已在 RUNBOOK-47 覆盖,此处只交叉引用不重复测。</t>
        </is>
      </c>
    </row>
    <row r="17" ht="44" customHeight="1">
      <c r="A17" s="13" t="inlineStr">
        <is>
          <t>5. &lt;真实ID&gt;/&lt;完整topic&gt;/&lt;未索引仓库的类&gt; 这类占位,内网用真实数据替换后执行;找「未索引仓库的类」的步骤见 runbook Part B。</t>
        </is>
      </c>
    </row>
  </sheetData>
  <mergeCells count="6">
    <mergeCell ref="A15:H15"/>
    <mergeCell ref="A1:C1"/>
    <mergeCell ref="A16:H16"/>
    <mergeCell ref="A13:H13"/>
    <mergeCell ref="A14:H14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2026-07-22T04:10:56Z</dcterms:created>
  <dcterms:modified xmlns:dcterms="http://purl.org/dc/terms/" xmlns:xsi="http://www.w3.org/2001/XMLSchema-instance" xsi:type="dcterms:W3CDTF">2026-07-22T04:10:56Z</dcterms:modified>
</cp:coreProperties>
</file>