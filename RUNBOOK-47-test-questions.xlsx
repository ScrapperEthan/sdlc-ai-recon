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'测试用例'!$A$1:$J$1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30" customWidth="1" min="5" max="5"/>
    <col width="46" customWidth="1" min="6" max="6"/>
    <col width="40" customWidth="1" min="7" max="7"/>
    <col width="26" customWidth="1" min="8" max="8"/>
    <col width="30" customWidth="1" min="9" max="9"/>
    <col width="16" customWidth="1" min="10" max="10"/>
  </cols>
  <sheetData>
    <row r="1">
      <c r="A1" s="1" t="inlineStr">
        <is>
          <t>No.</t>
        </is>
      </c>
      <c r="B1" s="1" t="inlineStr">
        <is>
          <t>分组</t>
        </is>
      </c>
      <c r="C1" s="1" t="inlineStr">
        <is>
          <t>问题</t>
        </is>
      </c>
      <c r="D1" s="1" t="inlineStr">
        <is>
          <t>类型</t>
        </is>
      </c>
      <c r="E1" s="1" t="inlineStr">
        <is>
          <t>期望路由/工具调用</t>
        </is>
      </c>
      <c r="F1" s="1" t="inlineStr">
        <is>
          <t>期望答案/结果</t>
        </is>
      </c>
      <c r="G1" s="1" t="inlineStr">
        <is>
          <t>为什么测这个(风险点)</t>
        </is>
      </c>
      <c r="H1" s="1" t="inlineStr">
        <is>
          <t>实测路由</t>
        </is>
      </c>
      <c r="I1" s="1" t="inlineStr">
        <is>
          <t>实测答案</t>
        </is>
      </c>
      <c r="J1" s="1" t="inlineStr">
        <is>
          <t>判定(PASS/FAIL)</t>
        </is>
      </c>
    </row>
    <row r="2" ht="60" customHeight="1">
      <c r="A2" s="2" t="n">
        <v>1</v>
      </c>
      <c r="B2" s="2" t="inlineStr">
        <is>
          <t>A｜通用仓库/API检索泛化</t>
        </is>
      </c>
      <c r="C2" s="2" t="inlineStr">
        <is>
          <t>MDC 有什么 API</t>
        </is>
      </c>
      <c r="D2" s="2" t="inlineStr">
        <is>
          <t>✅回归</t>
        </is>
      </c>
      <c r="E2" s="3" t="inlineStr">
        <is>
          <t>list_repos(query="mdc", mode="api")</t>
        </is>
      </c>
      <c r="F2" s="3" t="inlineStr">
        <is>
          <t>4个 amet-mdc-* api 仓库（ingress-api / internal-notification-api / cm-outbound-api / cm-tracking-api），再 search_code(repos=[...]) 找 @PostMapping/@GetMapping，引用具体端点+行号</t>
        </is>
      </c>
      <c r="G2" s="3" t="inlineStr">
        <is>
          <t>验证问题1（MDC↔source_system撞名）是否稳定路由到仓库检索，而不是source_system_impact/list_source_systems</t>
        </is>
      </c>
      <c r="H2" s="4" t="inlineStr"/>
      <c r="I2" s="4" t="inlineStr"/>
      <c r="J2" s="4" t="inlineStr">
        <is>
          <t>待测</t>
        </is>
      </c>
    </row>
    <row r="3" ht="60" customHeight="1">
      <c r="A3" s="2" t="n">
        <v>2</v>
      </c>
      <c r="B3" s="2" t="inlineStr">
        <is>
          <t>A｜通用仓库/API检索泛化</t>
        </is>
      </c>
      <c r="C3" s="2" t="inlineStr">
        <is>
          <t>campaign 相关有哪些仓库</t>
        </is>
      </c>
      <c r="D3" s="2" t="inlineStr">
        <is>
          <t>✅回归</t>
        </is>
      </c>
      <c r="E3" s="3" t="inlineStr">
        <is>
          <t>list_repos(query="campaign")</t>
        </is>
      </c>
      <c r="F3" s="3" t="inlineStr">
        <is>
          <t>具体数量以工具返回的 count 为准（不可预判/不可眼估），列出全部匹配仓库名</t>
        </is>
      </c>
      <c r="G3" s="3" t="inlineStr">
        <is>
          <t>验证 query 子串匹配对非MDC家族同样泛化生效</t>
        </is>
      </c>
      <c r="H3" s="4" t="inlineStr"/>
      <c r="I3" s="4" t="inlineStr"/>
      <c r="J3" s="4" t="inlineStr">
        <is>
          <t>待测</t>
        </is>
      </c>
    </row>
    <row r="4" ht="60" customHeight="1">
      <c r="A4" s="2" t="n">
        <v>3</v>
      </c>
      <c r="B4" s="2" t="inlineStr">
        <is>
          <t>A｜通用仓库/API检索泛化</t>
        </is>
      </c>
      <c r="C4" s="2" t="inlineStr">
        <is>
          <t>有哪些 tracking 仓库</t>
        </is>
      </c>
      <c r="D4" s="2" t="inlineStr">
        <is>
          <t>✅回归</t>
        </is>
      </c>
      <c r="E4" s="3" t="inlineStr">
        <is>
          <t>list_repos(query="tracking")</t>
        </is>
      </c>
      <c r="F4" s="3" t="inlineStr">
        <is>
          <t>count 以工具为准；应同时覆盖 amet-mdc-*-tracking-* 与 mc-hk-hase-*-tracking-* 两个命名家族</t>
        </is>
      </c>
      <c r="G4" s="3" t="inlineStr">
        <is>
          <t>验证子串匹配不会漏掉分布在不同前缀家族下的同关键词仓库</t>
        </is>
      </c>
      <c r="H4" s="4" t="inlineStr"/>
      <c r="I4" s="4" t="inlineStr"/>
      <c r="J4" s="4" t="inlineStr">
        <is>
          <t>待测</t>
        </is>
      </c>
    </row>
    <row r="5" ht="60" customHeight="1">
      <c r="A5" s="2" t="n">
        <v>4</v>
      </c>
      <c r="B5" s="2" t="inlineStr">
        <is>
          <t>A｜通用仓库/API检索泛化</t>
        </is>
      </c>
      <c r="C5" s="2" t="inlineStr">
        <is>
          <t>push 渠道有哪些仓库</t>
        </is>
      </c>
      <c r="D5" s="2" t="inlineStr">
        <is>
          <t>✅回归</t>
        </is>
      </c>
      <c r="E5" s="3" t="inlineStr">
        <is>
          <t>list_repos(channel="push")</t>
        </is>
      </c>
      <c r="F5" s="3" t="inlineStr">
        <is>
          <t>count 以工具为准，按 channel 标签过滤，不与 query 混淆</t>
        </is>
      </c>
      <c r="G5" s="3" t="inlineStr">
        <is>
          <t>验证 channel 参数路径独立生效</t>
        </is>
      </c>
      <c r="H5" s="4" t="inlineStr"/>
      <c r="I5" s="4" t="inlineStr"/>
      <c r="J5" s="4" t="inlineStr">
        <is>
          <t>待测</t>
        </is>
      </c>
    </row>
    <row r="6" ht="60" customHeight="1">
      <c r="A6" s="2" t="n">
        <v>5</v>
      </c>
      <c r="B6" s="2" t="inlineStr">
        <is>
          <t>A｜通用仓库/API检索泛化</t>
        </is>
      </c>
      <c r="C6" s="2" t="inlineStr">
        <is>
          <t>ingress 相关仓库有哪些</t>
        </is>
      </c>
      <c r="D6" s="2" t="inlineStr">
        <is>
          <t>✅回归</t>
        </is>
      </c>
      <c r="E6" s="3" t="inlineStr">
        <is>
          <t>list_repos(query="ingress")</t>
        </is>
      </c>
      <c r="F6" s="3" t="inlineStr">
        <is>
          <t>count 以工具为准</t>
        </is>
      </c>
      <c r="G6" s="3" t="inlineStr">
        <is>
          <t>同 #2/#3，泛化检查</t>
        </is>
      </c>
      <c r="H6" s="4" t="inlineStr"/>
      <c r="I6" s="4" t="inlineStr"/>
      <c r="J6" s="4" t="inlineStr">
        <is>
          <t>待测</t>
        </is>
      </c>
    </row>
    <row r="7" ht="60" customHeight="1">
      <c r="A7" s="5" t="n">
        <v>6</v>
      </c>
      <c r="B7" s="5" t="inlineStr">
        <is>
          <t>B｜MDC完整清单(group=mdc)</t>
        </is>
      </c>
      <c r="C7" s="5" t="inlineStr">
        <is>
          <t>列出 MDC 完整 repo list，要含 mc-hk-hase</t>
        </is>
      </c>
      <c r="D7" s="5" t="inlineStr">
        <is>
          <t>✅回归</t>
        </is>
      </c>
      <c r="E7" s="3" t="inlineStr">
        <is>
          <t>list_repos(group="mdc")</t>
        </is>
      </c>
      <c r="F7" s="3" t="inlineStr">
        <is>
          <t>45 个（21 amet-mdc-prefix + 24 mdc_common，来自 RUNBOOK-46 Part A2 实测，全零重叠），逐条列出仓库名并标 via 来源；count 必须与工具返回一致</t>
        </is>
      </c>
      <c r="G7" s="3" t="inlineStr">
        <is>
          <t>问题2的核心回归用例：之前手工挑12个且数错(22≠21)，此处验证不再手工枚举</t>
        </is>
      </c>
      <c r="H7" s="4" t="inlineStr"/>
      <c r="I7" s="4" t="inlineStr"/>
      <c r="J7" s="4" t="inlineStr">
        <is>
          <t>待测</t>
        </is>
      </c>
    </row>
    <row r="8" ht="60" customHeight="1">
      <c r="A8" s="5" t="n">
        <v>7</v>
      </c>
      <c r="B8" s="5" t="inlineStr">
        <is>
          <t>B｜MDC完整清单(group=mdc)</t>
        </is>
      </c>
      <c r="C8" s="5" t="inlineStr">
        <is>
          <t>MDC 系统一共多少个仓库</t>
        </is>
      </c>
      <c r="D8" s="5" t="inlineStr">
        <is>
          <t>✅回归</t>
        </is>
      </c>
      <c r="E8" s="3" t="inlineStr">
        <is>
          <t>list_repos(group="mdc")</t>
        </is>
      </c>
      <c r="F8" s="3" t="inlineStr">
        <is>
          <t>45（照抄工具 count，不允许眼估；且必须与 #6 的答案一致，不能两次问出两个数）</t>
        </is>
      </c>
      <c r="G8" s="3" t="inlineStr">
        <is>
          <t>计数纪律 + 跨轮一致性</t>
        </is>
      </c>
      <c r="H8" s="4" t="inlineStr"/>
      <c r="I8" s="4" t="inlineStr"/>
      <c r="J8" s="4" t="inlineStr">
        <is>
          <t>待测</t>
        </is>
      </c>
    </row>
    <row r="9" ht="60" customHeight="1">
      <c r="A9" s="5" t="n">
        <v>8</v>
      </c>
      <c r="B9" s="5" t="inlineStr">
        <is>
          <t>B｜MDC完整清单(group=mdc)</t>
        </is>
      </c>
      <c r="C9" s="5" t="inlineStr">
        <is>
          <t>MDC 复用了哪些 mc-hk-hase 仓库</t>
        </is>
      </c>
      <c r="D9" s="5" t="inlineStr">
        <is>
          <t>✅回归</t>
        </is>
      </c>
      <c r="E9" s="3" t="inlineStr">
        <is>
          <t>list_repos(group="mdc") 后按 via=mdc_common 筛</t>
        </is>
      </c>
      <c r="F9" s="3" t="inlineStr">
        <is>
          <t>24 个，均为 mc-hk-hase-*，且明确说明来源是 MDC 业务表的 MDC-Common 标记，不是仓库名</t>
        </is>
      </c>
      <c r="G9" s="3" t="inlineStr">
        <is>
          <t>验证能否从并集结果里正确切出 mdc_common 子集，而不是把45个混着报</t>
        </is>
      </c>
      <c r="H9" s="4" t="inlineStr"/>
      <c r="I9" s="4" t="inlineStr"/>
      <c r="J9" s="4" t="inlineStr">
        <is>
          <t>待测</t>
        </is>
      </c>
    </row>
    <row r="10" ht="60" customHeight="1">
      <c r="A10" s="5" t="n">
        <v>9</v>
      </c>
      <c r="B10" s="5" t="inlineStr">
        <is>
          <t>B｜MDC完整清单(group=mdc)</t>
        </is>
      </c>
      <c r="C10" s="5" t="inlineStr">
        <is>
          <t>MDC 自己的应用仓库有哪几个（不含共享/复用）</t>
        </is>
      </c>
      <c r="D10" s="5" t="inlineStr">
        <is>
          <t>✅回归</t>
        </is>
      </c>
      <c r="E10" s="3" t="inlineStr">
        <is>
          <t>list_repos(query="amet-mdc") 或 system="amet-mdc"</t>
        </is>
      </c>
      <c r="F10" s="3" t="inlineStr">
        <is>
          <t>21 个 amet-mdc-hsbc-* 仓库（不应把 mdc_common 的24个混进来）</t>
        </is>
      </c>
      <c r="G10" s="3" t="inlineStr">
        <is>
          <t>验证 21 与 24 两个子集不会被混淆</t>
        </is>
      </c>
      <c r="H10" s="4" t="inlineStr"/>
      <c r="I10" s="4" t="inlineStr"/>
      <c r="J10" s="4" t="inlineStr">
        <is>
          <t>待测</t>
        </is>
      </c>
    </row>
    <row r="11" ht="60" customHeight="1">
      <c r="A11" s="6" t="n">
        <v>10</v>
      </c>
      <c r="B11" s="6" t="inlineStr">
        <is>
          <t>C｜撞名消歧(source_system↔仓库家族)</t>
        </is>
      </c>
      <c r="C11" s="6" t="inlineStr">
        <is>
          <t>MDC 出问题会影响哪些 use case</t>
        </is>
      </c>
      <c r="D11" s="6" t="inlineStr">
        <is>
          <t>✅回归</t>
        </is>
      </c>
      <c r="E11" s="3" t="inlineStr">
        <is>
          <t>source_system_impact("MDC")</t>
        </is>
      </c>
      <c r="F11" s="3" t="inlineStr">
        <is>
          <t>coverage funnel（configured/expression_ready/entrypoint_traceable/catalog_only），约880个use case，默认分页首50条；禁止调用 list_repos</t>
        </is>
      </c>
      <c r="G11" s="3" t="inlineStr">
        <is>
          <t>反向探测：确认业务影响类问题不会被新工具list_repos截胡</t>
        </is>
      </c>
      <c r="H11" s="4" t="inlineStr"/>
      <c r="I11" s="4" t="inlineStr"/>
      <c r="J11" s="4" t="inlineStr">
        <is>
          <t>待测</t>
        </is>
      </c>
    </row>
    <row r="12" ht="60" customHeight="1">
      <c r="A12" s="6" t="n">
        <v>11</v>
      </c>
      <c r="B12" s="6" t="inlineStr">
        <is>
          <t>C｜撞名消歧(source_system↔仓库家族)</t>
        </is>
      </c>
      <c r="C12" s="6" t="inlineStr">
        <is>
          <t>MDC 挂了要通知谁</t>
        </is>
      </c>
      <c r="D12" s="6" t="inlineStr">
        <is>
          <t>✅回归</t>
        </is>
      </c>
      <c r="E12" s="3" t="inlineStr">
        <is>
          <t>source_system_impact("MDC")</t>
        </is>
      </c>
      <c r="F12" s="3" t="inlineStr">
        <is>
          <t>分层owners：business_owners &gt; cost_governance &gt; config_maintainers，优先展示business_owners</t>
        </is>
      </c>
      <c r="G12" s="3" t="inlineStr">
        <is>
          <t>同上，业务影响/通知类问题应走source_system分支</t>
        </is>
      </c>
      <c r="H12" s="4" t="inlineStr"/>
      <c r="I12" s="4" t="inlineStr"/>
      <c r="J12" s="4" t="inlineStr">
        <is>
          <t>待测</t>
        </is>
      </c>
    </row>
    <row r="13" ht="60" customHeight="1">
      <c r="A13" s="6" t="n">
        <v>12</v>
      </c>
      <c r="B13" s="6" t="inlineStr">
        <is>
          <t>C｜撞名消歧(source_system↔仓库家族)</t>
        </is>
      </c>
      <c r="C13" s="6" t="inlineStr">
        <is>
          <t>PEGA 有哪些 use case / 接了哪些流程</t>
        </is>
      </c>
      <c r="D13" s="6" t="inlineStr">
        <is>
          <t>✅回归</t>
        </is>
      </c>
      <c r="E13" s="3" t="inlineStr">
        <is>
          <t>source_system_impact("PEGA")</t>
        </is>
      </c>
      <c r="F13" s="3" t="inlineStr">
        <is>
          <t>total/active = 479/415（RUNBOOK-45已验证的真实数字）；不应误当仓库家族调用 list_repos(query="pega")</t>
        </is>
      </c>
      <c r="G13" s="3" t="inlineStr">
        <is>
          <t>验证撞名消歧规则不是MDC专属if-else，而是对任意source_system都成立</t>
        </is>
      </c>
      <c r="H13" s="4" t="inlineStr"/>
      <c r="I13" s="4" t="inlineStr"/>
      <c r="J13" s="4" t="inlineStr">
        <is>
          <t>待测</t>
        </is>
      </c>
    </row>
    <row r="14" ht="60" customHeight="1">
      <c r="A14" s="6" t="n">
        <v>13</v>
      </c>
      <c r="B14" s="6" t="inlineStr">
        <is>
          <t>C｜撞名消歧(source_system↔仓库家族)</t>
        </is>
      </c>
      <c r="C14" s="6" t="inlineStr">
        <is>
          <t>架构图上 PEGA 从哪接进来</t>
        </is>
      </c>
      <c r="D14" s="6" t="inlineStr">
        <is>
          <t>✅回归</t>
        </is>
      </c>
      <c r="E14" s="3" t="inlineStr">
        <is>
          <t>show_arch(kind="source-system", value="PEGA")</t>
        </is>
      </c>
      <c r="F14" s="3" t="inlineStr">
        <is>
          <t>内嵌架构图，业务上游节点高亮，并说明这是Use Case主数据声明的上游，非代码发现的边</t>
        </is>
      </c>
      <c r="G14" s="3" t="inlineStr">
        <is>
          <t>确认source-system类问题走show_arch而非list_repos</t>
        </is>
      </c>
      <c r="H14" s="4" t="inlineStr"/>
      <c r="I14" s="4" t="inlineStr"/>
      <c r="J14" s="4" t="inlineStr">
        <is>
          <t>待测</t>
        </is>
      </c>
    </row>
    <row r="15" ht="60" customHeight="1">
      <c r="A15" s="7" t="n">
        <v>14</v>
      </c>
      <c r="B15" s="7" t="inlineStr">
        <is>
          <t>D｜计数纪律</t>
        </is>
      </c>
      <c r="C15" s="7" t="inlineStr">
        <is>
          <t>amet-mdc 一共几个仓库</t>
        </is>
      </c>
      <c r="D15" s="7" t="inlineStr">
        <is>
          <t>✅回归</t>
        </is>
      </c>
      <c r="E15" s="3" t="inlineStr">
        <is>
          <t>list_repos(query="amet-mdc") 或 system="amet-mdc"</t>
        </is>
      </c>
      <c r="F15" s="3" t="inlineStr">
        <is>
          <t>21（此前模型曾误答22，此处验证照抄工具count，不再眼估/数错）</t>
        </is>
      </c>
      <c r="G15" s="3" t="inlineStr">
        <is>
          <t>计数纪律回归（问题2报告中发现的具体错误）</t>
        </is>
      </c>
      <c r="H15" s="4" t="inlineStr"/>
      <c r="I15" s="4" t="inlineStr"/>
      <c r="J15" s="4" t="inlineStr">
        <is>
          <t>待测</t>
        </is>
      </c>
    </row>
    <row r="16" ht="60" customHeight="1">
      <c r="A16" s="7" t="n">
        <v>15</v>
      </c>
      <c r="B16" s="7" t="inlineStr">
        <is>
          <t>D｜计数纪律</t>
        </is>
      </c>
      <c r="C16" s="7" t="inlineStr">
        <is>
          <t>SMS 渠道下有多少个仓库</t>
        </is>
      </c>
      <c r="D16" s="7" t="inlineStr">
        <is>
          <t>✅回归</t>
        </is>
      </c>
      <c r="E16" s="3" t="inlineStr">
        <is>
          <t>list_repos(channel="sms")</t>
        </is>
      </c>
      <c r="F16" s="3" t="inlineStr">
        <is>
          <t>count 必须来自工具返回值，不可眼估；具体数字以实测为准</t>
        </is>
      </c>
      <c r="G16" s="3" t="inlineStr">
        <is>
          <t>计数纪律泛化到channel维度</t>
        </is>
      </c>
      <c r="H16" s="4" t="inlineStr"/>
      <c r="I16" s="4" t="inlineStr"/>
      <c r="J16" s="4" t="inlineStr">
        <is>
          <t>待测</t>
        </is>
      </c>
    </row>
    <row r="17" ht="60" customHeight="1">
      <c r="A17" s="8" t="n">
        <v>16</v>
      </c>
      <c r="B17" s="8" t="inlineStr">
        <is>
          <t>E｜组合过滤/边界探测</t>
        </is>
      </c>
      <c r="C17" s="8" t="inlineStr">
        <is>
          <t>MDC 有哪些 job</t>
        </is>
      </c>
      <c r="D17" s="8" t="inlineStr">
        <is>
          <t>⚠️探测</t>
        </is>
      </c>
      <c r="E17" s="3" t="inlineStr">
        <is>
          <t>期望：list_repos(group="mdc") 结果按 mode=job 二次筛选；或如实说明 group=mdc 当前不带 mode 字段，改用其它方式确认</t>
        </is>
      </c>
      <c r="F17" s="3" t="inlineStr">
        <is>
          <t>当前 mdc_repos() 返回的45条只带 via 来源，不带 mode/channel 字段——模型可能筛选失败、编造答案，或误退回 query="mdc" 导致漏掉24个mc-hk-hase</t>
        </is>
      </c>
      <c r="G17" s="3" t="inlineStr">
        <is>
          <t>高风险探测点：group与mode/channel组合过滤当前无原生支持，预判可能暴露真实缺口</t>
        </is>
      </c>
      <c r="H17" s="4" t="inlineStr"/>
      <c r="I17" s="4" t="inlineStr"/>
      <c r="J17" s="4" t="inlineStr">
        <is>
          <t>待测</t>
        </is>
      </c>
    </row>
    <row r="18" ht="60" customHeight="1">
      <c r="A18" s="8" t="n">
        <v>17</v>
      </c>
      <c r="B18" s="8" t="inlineStr">
        <is>
          <t>E｜组合过滤/边界探测</t>
        </is>
      </c>
      <c r="C18" s="8" t="inlineStr">
        <is>
          <t>MDC 的 SMS 仓库有哪些</t>
        </is>
      </c>
      <c r="D18" s="8" t="inlineStr">
        <is>
          <t>⚠️探测</t>
        </is>
      </c>
      <c r="E18" s="3" t="inlineStr">
        <is>
          <t>期望：group="mdc" 结果与 channel="sms" 结果做交集；或如实说明当前工具不支持该组合，需要分两步核对</t>
        </is>
      </c>
      <c r="F18" s="3" t="inlineStr">
        <is>
          <t>同#16，group结果不带channel字段，交集需要模型自己做二次处理，容易出错或漏答</t>
        </is>
      </c>
      <c r="G18" s="3" t="inlineStr">
        <is>
          <t>高风险探测点，与#16同一缺口的两个变体</t>
        </is>
      </c>
      <c r="H18" s="4" t="inlineStr"/>
      <c r="I18" s="4" t="inlineStr"/>
      <c r="J18" s="4" t="inlineStr">
        <is>
          <t>待测</t>
        </is>
      </c>
    </row>
    <row r="19" ht="60" customHeight="1">
      <c r="A19" s="8" t="n">
        <v>18</v>
      </c>
      <c r="B19" s="8" t="inlineStr">
        <is>
          <t>E｜组合过滤/边界探测</t>
        </is>
      </c>
      <c r="C19" s="8" t="inlineStr">
        <is>
          <t>eAlert 有什么 API</t>
        </is>
      </c>
      <c r="D19" s="8" t="inlineStr">
        <is>
          <t>⚠️探测</t>
        </is>
      </c>
      <c r="E19" s="3" t="inlineStr">
        <is>
          <t>期望：list_repos(query="ealert") 返回0或极少结果后，如实说明 eAlert 是上游 source_system 而非仓库家族命名，反问用户是否想查 source_system_impact</t>
        </is>
      </c>
      <c r="F19" s="3" t="inlineStr">
        <is>
          <t>风险：模型可能因为list_repos空结果而编造/强行凑API答案，而不是识别出这是个source_system</t>
        </is>
      </c>
      <c r="G19" s="3" t="inlineStr">
        <is>
          <t>验证工具返回空结果时的兜底行为，防止编造</t>
        </is>
      </c>
      <c r="H19" s="4" t="inlineStr"/>
      <c r="I19" s="4" t="inlineStr"/>
      <c r="J19" s="4" t="inlineStr">
        <is>
          <t>待测</t>
        </is>
      </c>
    </row>
    <row r="20" ht="60" customHeight="1">
      <c r="A20" s="8" t="n">
        <v>19</v>
      </c>
      <c r="B20" s="8" t="inlineStr">
        <is>
          <t>E｜组合过滤/边界探测</t>
        </is>
      </c>
      <c r="C20" s="8" t="inlineStr">
        <is>
          <t>整个系统一共多少个仓库</t>
        </is>
      </c>
      <c r="D20" s="8" t="inlineStr">
        <is>
          <t>✅回归</t>
        </is>
      </c>
      <c r="E20" s="3" t="inlineStr">
        <is>
          <t>list_repos()（不带任何过滤）</t>
        </is>
      </c>
      <c r="F20" s="3" t="inlineStr">
        <is>
          <t>392（canonical universe：Maven边∪冻结bundle plan；不应说成456——那是含66个非系统杂项的镜像全量）</t>
        </is>
      </c>
      <c r="G20" s="3" t="inlineStr">
        <is>
          <t>确认整体口径没有被上一轮Codex提出的"392→456"建议带偏</t>
        </is>
      </c>
      <c r="H20" s="4" t="inlineStr"/>
      <c r="I20" s="4" t="inlineStr"/>
      <c r="J20" s="4" t="inlineStr">
        <is>
          <t>待测</t>
        </is>
      </c>
    </row>
    <row r="21" ht="60" customHeight="1">
      <c r="A21" s="8" t="n">
        <v>20</v>
      </c>
      <c r="B21" s="8" t="inlineStr">
        <is>
          <t>E｜组合过滤/边界探测</t>
        </is>
      </c>
      <c r="C21" s="8" t="inlineStr">
        <is>
          <t>列一下 whatsapp 渠道的仓库</t>
        </is>
      </c>
      <c r="D21" s="8" t="inlineStr">
        <is>
          <t>⚠️探测</t>
        </is>
      </c>
      <c r="E21" s="3" t="inlineStr">
        <is>
          <t>list_repos(channel="whatsapp")</t>
        </is>
      </c>
      <c r="F21" s="3" t="inlineStr">
        <is>
          <t>如实报告工具返回的实际数量（可能很少甚至0），不应为了显得"有内容"而硬凑答案</t>
        </is>
      </c>
      <c r="G21" s="3" t="inlineStr">
        <is>
          <t>验证极端小/空结果下模型是否诚实</t>
        </is>
      </c>
      <c r="H21" s="4" t="inlineStr"/>
      <c r="I21" s="4" t="inlineStr"/>
      <c r="J21" s="4" t="inlineStr">
        <is>
          <t>待测</t>
        </is>
      </c>
    </row>
    <row r="22" ht="60" customHeight="1">
      <c r="A22" s="9" t="inlineStr">
        <is>
          <t>U1</t>
        </is>
      </c>
      <c r="B22" s="9" t="inlineStr">
        <is>
          <t>F｜完整性质疑与显式指令(更狠)</t>
        </is>
      </c>
      <c r="C22" s="9" t="inlineStr">
        <is>
          <t>列 MDC 仓库，必须列出所有相关的 mc-hk-hase</t>
        </is>
      </c>
      <c r="D22" s="9" t="inlineStr">
        <is>
          <t>⚠️探测</t>
        </is>
      </c>
      <c r="E22" s="3" t="inlineStr">
        <is>
          <t>期望：触发"显式家族守卫"（若已实现）——用户显式点名 mc-hk-hase 时，代码层面强制把mc-hk-hase家族的相关成员完整摆出，不完全依赖模型自由裁量；若守卫未实现，应如实说明当前口径只到 mdc_common 标记的24个，且这是已知设计边界</t>
        </is>
      </c>
      <c r="F22" s="3" t="inlineStr">
        <is>
          <t>核心风险点：用户明确指令后，模型是否仍可能因"照抄count"纪律而止步于45，不再深挖——这是本轮最担心的回归</t>
        </is>
      </c>
      <c r="G22" s="3" t="inlineStr">
        <is>
          <t>最高优先级探测：验证"用户显式要求"能否被代码兜底，而不是纯粹赌模型这次会不会听话</t>
        </is>
      </c>
      <c r="H22" s="4" t="inlineStr"/>
      <c r="I22" s="4" t="inlineStr"/>
      <c r="J22" s="4" t="inlineStr">
        <is>
          <t>待测</t>
        </is>
      </c>
    </row>
    <row r="23" ht="60" customHeight="1">
      <c r="A23" s="9" t="inlineStr">
        <is>
          <t>U2</t>
        </is>
      </c>
      <c r="B23" s="9" t="inlineStr">
        <is>
          <t>F｜完整性质疑与显式指令(更狠)</t>
        </is>
      </c>
      <c r="C23" s="9" t="inlineStr">
        <is>
          <t>业务表登记了45个，依赖图/消息图上还有没有别的 mc-hk-hase 牵连 MDC？</t>
        </is>
      </c>
      <c r="D23" s="9" t="inlineStr">
        <is>
          <t>⚠️探测</t>
        </is>
      </c>
      <c r="E23" s="3" t="inlineStr">
        <is>
          <t>期望：调用 impact(repo, transitive=True) / consumers / producers 等图工具，对21个amet-mdc做闭包，与45做交叉比对，列出差集（若有）</t>
        </is>
      </c>
      <c r="F23" s="3" t="inlineStr">
        <is>
          <t>如果模型只会重复"就是45"而不会主动跑图交叉验证，说明完整性核验能力缺失</t>
        </is>
      </c>
      <c r="G23" s="3" t="inlineStr">
        <is>
          <t>完整性交叉验证探测——回应用户"凭什么说全"的质疑</t>
        </is>
      </c>
      <c r="H23" s="4" t="inlineStr"/>
      <c r="I23" s="4" t="inlineStr"/>
      <c r="J23" s="4" t="inlineStr">
        <is>
          <t>待测</t>
        </is>
      </c>
    </row>
    <row r="24" ht="60" customHeight="1">
      <c r="A24" s="9" t="inlineStr">
        <is>
          <t>U3</t>
        </is>
      </c>
      <c r="B24" s="9" t="inlineStr">
        <is>
          <t>F｜完整性质疑与显式指令(更狠)</t>
        </is>
      </c>
      <c r="C24" s="9" t="inlineStr">
        <is>
          <t>（紧跟#6之后追问）我不信只有这些，再仔细找找</t>
        </is>
      </c>
      <c r="D24" s="9" t="inlineStr">
        <is>
          <t>⚠️探测</t>
        </is>
      </c>
      <c r="E24" s="3" t="inlineStr">
        <is>
          <t>期望：不得复读"就是45"；应触发更广检索（图/消息路径）并如实说明数据边界，而不是重复引用同一个count敷衍</t>
        </is>
      </c>
      <c r="F24" s="3" t="inlineStr">
        <is>
          <t>风险："照抄count、别自己数"这条纪律可能反噬成"拒绝深挖"，遇到用户明确挑战时仍机械重复45</t>
        </is>
      </c>
      <c r="G24" s="3" t="inlineStr">
        <is>
          <t>验证计数纪律与深挖义务是否冲突</t>
        </is>
      </c>
      <c r="H24" s="4" t="inlineStr"/>
      <c r="I24" s="4" t="inlineStr"/>
      <c r="J24" s="4" t="inlineStr">
        <is>
          <t>待测</t>
        </is>
      </c>
    </row>
    <row r="25" ht="60" customHeight="1">
      <c r="A25" s="9" t="inlineStr">
        <is>
          <t>U4</t>
        </is>
      </c>
      <c r="B25" s="9" t="inlineStr">
        <is>
          <t>F｜完整性质疑与显式指令(更狠)</t>
        </is>
      </c>
      <c r="C25" s="9" t="inlineStr">
        <is>
          <t>这45怎么来的？能保证全吗？</t>
        </is>
      </c>
      <c r="D25" s="9" t="inlineStr">
        <is>
          <t>🔍诚实性</t>
        </is>
      </c>
      <c r="E25" s="3" t="inlineStr">
        <is>
          <t>无需新工具调用，纯文本回答</t>
        </is>
      </c>
      <c r="F25" s="3" t="inlineStr">
        <is>
          <t>如实说明：45来自MDC业务表(mdc_common)口径的并集，不保证等于运行时/消息驱动的全部关联；运行时全集需要依赖图+消息图（message map）进一步验证，目前不是100%保证</t>
        </is>
      </c>
      <c r="G25" s="3" t="inlineStr">
        <is>
          <t>诚实性检查：若模型回答"可以保证全"则直接判定失败</t>
        </is>
      </c>
      <c r="H25" s="4" t="inlineStr"/>
      <c r="I25" s="4" t="inlineStr"/>
      <c r="J25" s="4" t="inlineStr">
        <is>
          <t>待测</t>
        </is>
      </c>
    </row>
    <row r="26" ht="60" customHeight="1">
      <c r="A26" s="9" t="inlineStr">
        <is>
          <t>U5</t>
        </is>
      </c>
      <c r="B26" s="9" t="inlineStr">
        <is>
          <t>F｜完整性质疑与显式指令(更狠)</t>
        </is>
      </c>
      <c r="C26" s="9" t="inlineStr">
        <is>
          <t>MDC / 讲讲MDC（裸词，无API/use case等限定词）</t>
        </is>
      </c>
      <c r="D26" s="9" t="inlineStr">
        <is>
          <t>⚠️探测</t>
        </is>
      </c>
      <c r="E26" s="3" t="inlineStr">
        <is>
          <t>期望：因为存在真实歧义（仓库家族 / 上游source_system / mdc_common业务分组三种理解），应追问用户想了解哪个方面，或将三种理解各点一句让用户选择</t>
        </is>
      </c>
      <c r="F26" s="3" t="inlineStr">
        <is>
          <t>验证"意图清楚该稳定路由，意图不清楚该追问"这条区分是否真的生效，而不是遇到任何MDC都套用同一路由</t>
        </is>
      </c>
      <c r="G26" s="3" t="inlineStr">
        <is>
          <t>真·裸词歧义探测（区别于#1这种带"API"限定词的清晰意图）</t>
        </is>
      </c>
      <c r="H26" s="4" t="inlineStr"/>
      <c r="I26" s="4" t="inlineStr"/>
      <c r="J26" s="4" t="inlineStr">
        <is>
          <t>待测</t>
        </is>
      </c>
    </row>
    <row r="27" ht="60" customHeight="1">
      <c r="A27" s="9" t="inlineStr">
        <is>
          <t>U6</t>
        </is>
      </c>
      <c r="B27" s="9" t="inlineStr">
        <is>
          <t>F｜完整性质疑与显式指令(更狠)</t>
        </is>
      </c>
      <c r="C27" s="9" t="inlineStr">
        <is>
          <t>列出 campaign 分组的仓库（诱导模型误用未定义的 group 值）</t>
        </is>
      </c>
      <c r="D27" s="9" t="inlineStr">
        <is>
          <t>⚠️探测</t>
        </is>
      </c>
      <c r="E27" s="3" t="inlineStr">
        <is>
          <t>期望：group 参数目前只认 "mdc" 一个值；模型应使用 query="campaign" 而非 group="campaign"，或如果误填 group="campaign"，工具应报错/回退而不是静默返回全部392个仓库</t>
        </is>
      </c>
      <c r="F27" s="3" t="inlineStr">
        <is>
          <t>已知代码隐患：dispatch里 group 只判断是否等于"mdc"，其余任何值都会落入filter_repos且不传group参数，等同于无过滤——可能被误解为"返回全部仓库"而不报错</t>
        </is>
      </c>
      <c r="G27" s="3" t="inlineStr">
        <is>
          <t>工具健壮性探测：未知group值的静默放行是否会造成误导性满分结果</t>
        </is>
      </c>
      <c r="H27" s="4" t="inlineStr"/>
      <c r="I27" s="4" t="inlineStr"/>
      <c r="J27" s="4" t="inlineStr">
        <is>
          <t>待测</t>
        </is>
      </c>
    </row>
    <row r="28" ht="60" customHeight="1">
      <c r="A28" s="9" t="inlineStr">
        <is>
          <t>U7</t>
        </is>
      </c>
      <c r="B28" s="9" t="inlineStr">
        <is>
          <t>F｜完整性质疑与显式指令(更狠)</t>
        </is>
      </c>
      <c r="C28" s="9" t="inlineStr">
        <is>
          <t>在依赖图或消息图上，有没有和 amet-mdc-* 有连接、但不在 MDC 业务表45个里的 mc-hk-hase 仓库？</t>
        </is>
      </c>
      <c r="D28" s="9" t="inlineStr">
        <is>
          <t>⚠️探测</t>
        </is>
      </c>
      <c r="E28" s="3" t="inlineStr">
        <is>
          <t>期望：对21个amet-mdc仓库分别调用 impact(repo, transitive=True) 及 consumers/producers，汇总所有被牵连的mc-hk-hase仓库，与45中的24个mc-hk-hase做差集比较，如实报告有/无差集，并说明依赖图只覆盖库依赖、消息面的完整性仍受限于message map覆盖缺口</t>
        </is>
      </c>
      <c r="F28" s="3" t="inlineStr">
        <is>
          <t>全用例中最关键的一条：这是唯一能实测证伪"45是否遗漏"的问题，需要内网在真实mirror/图数据上跑出确定性差集，而不是让模型口头担保</t>
        </is>
      </c>
      <c r="G28" s="3" t="inlineStr">
        <is>
          <t>【内网必做】建议由脚本/CLI直接跑图闭包比对，而非只靠聊天问答一次性验证，结果作为RUNBOOK-47送回的关键交付物</t>
        </is>
      </c>
      <c r="H28" s="4" t="inlineStr"/>
      <c r="I28" s="4" t="inlineStr"/>
      <c r="J28" s="4" t="inlineStr">
        <is>
          <t>待测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MDC / list_repos 检索能力 — 测试用例汇总</t>
        </is>
      </c>
    </row>
    <row r="3">
      <c r="A3" s="11" t="inlineStr">
        <is>
          <t>总用例数</t>
        </is>
      </c>
      <c r="B3" s="12">
        <f>COUNTA(测试用例!A2:A28)</f>
        <v/>
      </c>
    </row>
    <row r="4">
      <c r="A4" s="11" t="inlineStr">
        <is>
          <t>✅ 回归用例数（regress）</t>
        </is>
      </c>
      <c r="B4" s="12">
        <f>COUNTIF(测试用例!D2:D28,"✅回归")</f>
        <v/>
      </c>
    </row>
    <row r="5">
      <c r="A5" s="11" t="inlineStr">
        <is>
          <t>⚠️ 探测用例数（probe）</t>
        </is>
      </c>
      <c r="B5" s="12">
        <f>COUNTIF(测试用例!D2:D28,"⚠️探测")</f>
        <v/>
      </c>
    </row>
    <row r="6">
      <c r="A6" s="11" t="inlineStr">
        <is>
          <t>🔍 诚实性用例数（honesty）</t>
        </is>
      </c>
      <c r="B6" s="12">
        <f>COUNTIF(测试用例!D2:D28,"🔍诚实性")</f>
        <v/>
      </c>
    </row>
    <row r="7">
      <c r="A7" s="11" t="inlineStr">
        <is>
          <t>已测（非"待测"）</t>
        </is>
      </c>
      <c r="B7" s="12">
        <f>COUNTIF(测试用例!J2:J28,"&lt;&gt;待测")</f>
        <v/>
      </c>
    </row>
    <row r="8">
      <c r="A8" s="11" t="inlineStr">
        <is>
          <t>通过（PASS）</t>
        </is>
      </c>
      <c r="B8" s="12">
        <f>COUNTIF(测试用例!J2:J28,"PASS")</f>
        <v/>
      </c>
    </row>
    <row r="9">
      <c r="A9" s="11" t="inlineStr">
        <is>
          <t>失败（FAIL）</t>
        </is>
      </c>
      <c r="B9" s="12">
        <f>COUNTIF(测试用例!J2:J28,"FAIL")</f>
        <v/>
      </c>
    </row>
    <row r="10">
      <c r="A10" s="11" t="inlineStr">
        <is>
          <t>通过率（占已测）</t>
        </is>
      </c>
      <c r="B10" s="13">
        <f>IFERROR(COUNTIF(测试用例!J2:J28,"PASS")/COUNTIF(测试用例!J2:J28,"&lt;&gt;待测"),0)</f>
        <v/>
      </c>
    </row>
    <row r="13">
      <c r="A13" s="14" t="inlineStr">
        <is>
          <t>使用说明</t>
        </is>
      </c>
    </row>
    <row r="14" ht="30" customHeight="1">
      <c r="A14" s="15" t="inlineStr">
        <is>
          <t>1. 「测试用例」表里黄色底纹的三列（实测路由/实测答案/判定）留给实测者填写。</t>
        </is>
      </c>
    </row>
    <row r="15" ht="30" customHeight="1">
      <c r="A15" s="15" t="inlineStr">
        <is>
          <t>2. 判定列请填 PASS 或 FAIL（默认"待测"），本汇总表的通过率会自动统计。</t>
        </is>
      </c>
    </row>
    <row r="16" ht="30" customHeight="1">
      <c r="A16" s="15" t="inlineStr">
        <is>
          <t>3. 类型说明：✅回归=应稳定通过的已知修复点；⚠️探测=有意设计的边界/风险探针，FAIL不代表代码有bug，而是发现了一个需要评估的新缺口；🔍诚实性=专门检查模型是否会过度承诺/编造答案。</t>
        </is>
      </c>
    </row>
    <row r="17" ht="30" customHeight="1">
      <c r="A17" s="15" t="inlineStr">
        <is>
          <t>4. U7 建议内网用脚本直接跑依赖图/消息图闭包做确定性比对，而不是只依赖聊天问答一次性验证——这是唯一能证伪"45个是否遗漏"的方式，具体步骤见 RUNBOOK-47。</t>
        </is>
      </c>
    </row>
    <row r="18" ht="30" customHeight="1">
      <c r="A18" s="15" t="inlineStr">
        <is>
          <t>5. 本表配套 RUNBOOK-47-mdc-list-repos-adversarial-verify.md（repo根目录），内网Codex按该runbook逐条执行。</t>
        </is>
      </c>
    </row>
  </sheetData>
  <mergeCells count="6">
    <mergeCell ref="A18:H18"/>
    <mergeCell ref="A15:H15"/>
    <mergeCell ref="A1:C1"/>
    <mergeCell ref="A16:H16"/>
    <mergeCell ref="A14:H14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2026-07-22T03:21:30Z</dcterms:created>
  <dcterms:modified xmlns:dcterms="http://purl.org/dc/terms/" xmlns:xsi="http://www.w3.org/2001/XMLSchema-instance" xsi:type="dcterms:W3CDTF">2026-07-22T03:21:30Z</dcterms:modified>
</cp:coreProperties>
</file>